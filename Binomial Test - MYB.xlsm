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drawings/drawing4.xml" ContentType="application/vnd.openxmlformats-officedocument.drawingml.chartshap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MPRSVMA700VDI01.hk.standardchartered.com\UEM_Home_Share\1567478\Desktop\"/>
    </mc:Choice>
  </mc:AlternateContent>
  <bookViews>
    <workbookView xWindow="480" yWindow="45" windowWidth="11340" windowHeight="8115" tabRatio="648" firstSheet="2" activeTab="2"/>
  </bookViews>
  <sheets>
    <sheet name="Models" sheetId="9" state="hidden" r:id="rId1"/>
    <sheet name="Fit" sheetId="8" state="hidden" r:id="rId2"/>
    <sheet name="PD mandatory - Binomial OOT" sheetId="2" r:id="rId3"/>
    <sheet name="PD indicative - R-sq t-test" sheetId="7" state="hidden" r:id="rId4"/>
    <sheet name="Stress Response" sheetId="10" state="hidden" r:id="rId5"/>
    <sheet name="Life Time" sheetId="12" state="hidden" r:id="rId6"/>
    <sheet name="Life Time Plot" sheetId="17" state="hidden" r:id="rId7"/>
  </sheets>
  <functionGroups builtInGroupCount="18"/>
  <definedNames>
    <definedName name="_AMO_UniqueIdentifier" hidden="1">"'c28c5bf9-af6e-4633-ad61-c071a1efb58c'"</definedName>
    <definedName name="_xlnm._FilterDatabase" localSheetId="3" hidden="1">'PD indicative - R-sq t-test'!$A$10:$F$42</definedName>
    <definedName name="IDX" localSheetId="0">Models!#REF!</definedName>
    <definedName name="pointer1">'PD indicative - R-sq t-test'!#REF!</definedName>
    <definedName name="pointer2">#REF!</definedName>
    <definedName name="pointer3">#REF!</definedName>
    <definedName name="_xlnm.Print_Area" localSheetId="2">'PD mandatory - Binomial OOT'!$A$9:$J$16</definedName>
  </definedNames>
  <calcPr calcId="171027"/>
</workbook>
</file>

<file path=xl/calcChain.xml><?xml version="1.0" encoding="utf-8"?>
<calcChain xmlns="http://schemas.openxmlformats.org/spreadsheetml/2006/main">
  <c r="O15" i="2" l="1"/>
  <c r="K2" i="17" l="1"/>
  <c r="H3" i="17"/>
  <c r="I3" i="17"/>
  <c r="C62" i="12"/>
  <c r="D62" i="12"/>
  <c r="D64" i="12" s="1"/>
  <c r="E62" i="12"/>
  <c r="F62" i="12"/>
  <c r="G62" i="12"/>
  <c r="H62" i="12"/>
  <c r="H66" i="12" s="1"/>
  <c r="I62" i="12"/>
  <c r="J62" i="12"/>
  <c r="J64" i="12" s="1"/>
  <c r="K62" i="12"/>
  <c r="L62" i="12"/>
  <c r="L64" i="12" s="1"/>
  <c r="M62" i="12"/>
  <c r="N62" i="12"/>
  <c r="O62" i="12"/>
  <c r="P62" i="12"/>
  <c r="P66" i="12" s="1"/>
  <c r="Q62" i="12"/>
  <c r="R62" i="12"/>
  <c r="R64" i="12" s="1"/>
  <c r="S62" i="12"/>
  <c r="T62" i="12"/>
  <c r="T64" i="12" s="1"/>
  <c r="U62" i="12"/>
  <c r="V62" i="12"/>
  <c r="W62" i="12"/>
  <c r="X62" i="12"/>
  <c r="X66" i="12" s="1"/>
  <c r="Y62" i="12"/>
  <c r="Z62" i="12"/>
  <c r="Z64" i="12" s="1"/>
  <c r="AA62" i="12"/>
  <c r="C64" i="12"/>
  <c r="E64" i="12"/>
  <c r="F64" i="12"/>
  <c r="G64" i="12"/>
  <c r="I64" i="12"/>
  <c r="K64" i="12"/>
  <c r="M64" i="12"/>
  <c r="N64" i="12"/>
  <c r="O64" i="12"/>
  <c r="Q64" i="12"/>
  <c r="S64" i="12"/>
  <c r="U64" i="12"/>
  <c r="V64" i="12"/>
  <c r="W64" i="12"/>
  <c r="Y64" i="12"/>
  <c r="AA64" i="12"/>
  <c r="C65" i="12"/>
  <c r="E65" i="12"/>
  <c r="F65" i="12"/>
  <c r="G65" i="12"/>
  <c r="H65" i="12"/>
  <c r="I65" i="12"/>
  <c r="K65" i="12"/>
  <c r="M65" i="12"/>
  <c r="N65" i="12"/>
  <c r="O65" i="12"/>
  <c r="P65" i="12"/>
  <c r="Q65" i="12"/>
  <c r="S65" i="12"/>
  <c r="U65" i="12"/>
  <c r="V65" i="12"/>
  <c r="W65" i="12"/>
  <c r="X65" i="12"/>
  <c r="Y65" i="12"/>
  <c r="AA65" i="12"/>
  <c r="C66" i="12"/>
  <c r="E66" i="12"/>
  <c r="F66" i="12"/>
  <c r="G66" i="12"/>
  <c r="I66" i="12"/>
  <c r="K66" i="12"/>
  <c r="L66" i="12"/>
  <c r="M66" i="12"/>
  <c r="N66" i="12"/>
  <c r="O66" i="12"/>
  <c r="Q66" i="12"/>
  <c r="S66" i="12"/>
  <c r="T66" i="12"/>
  <c r="U66" i="12"/>
  <c r="V66" i="12"/>
  <c r="W66" i="12"/>
  <c r="Y66" i="12"/>
  <c r="AA66" i="12"/>
  <c r="C67" i="12"/>
  <c r="D67" i="12"/>
  <c r="E67" i="12"/>
  <c r="F67" i="12"/>
  <c r="G67" i="12"/>
  <c r="I67" i="12"/>
  <c r="K67" i="12"/>
  <c r="L67" i="12"/>
  <c r="M67" i="12"/>
  <c r="N67" i="12"/>
  <c r="O67" i="12"/>
  <c r="Q67" i="12"/>
  <c r="S67" i="12"/>
  <c r="T67" i="12"/>
  <c r="U67" i="12"/>
  <c r="V67" i="12"/>
  <c r="W67" i="12"/>
  <c r="Y67" i="12"/>
  <c r="AA67" i="12"/>
  <c r="C68" i="12"/>
  <c r="D68" i="12"/>
  <c r="E68" i="12"/>
  <c r="F68" i="12"/>
  <c r="G68" i="12"/>
  <c r="I68" i="12"/>
  <c r="K68" i="12"/>
  <c r="L68" i="12"/>
  <c r="M68" i="12"/>
  <c r="N68" i="12"/>
  <c r="O68" i="12"/>
  <c r="Q68" i="12"/>
  <c r="S68" i="12"/>
  <c r="T68" i="12"/>
  <c r="U68" i="12"/>
  <c r="V68" i="12"/>
  <c r="W68" i="12"/>
  <c r="Y68" i="12"/>
  <c r="AA68" i="12"/>
  <c r="C69" i="12"/>
  <c r="D69" i="12"/>
  <c r="E69" i="12"/>
  <c r="F69" i="12"/>
  <c r="G69" i="12"/>
  <c r="I69" i="12"/>
  <c r="J69" i="12"/>
  <c r="K69" i="12"/>
  <c r="L69" i="12"/>
  <c r="M69" i="12"/>
  <c r="N69" i="12"/>
  <c r="O69" i="12"/>
  <c r="Q69" i="12"/>
  <c r="S69" i="12"/>
  <c r="T69" i="12"/>
  <c r="U69" i="12"/>
  <c r="V69" i="12"/>
  <c r="W69" i="12"/>
  <c r="Y69" i="12"/>
  <c r="AA69" i="12"/>
  <c r="B65" i="12"/>
  <c r="B66" i="12"/>
  <c r="B67" i="12"/>
  <c r="B68" i="12"/>
  <c r="B69" i="12"/>
  <c r="B64" i="12"/>
  <c r="B62" i="12"/>
  <c r="J2" i="17" l="1"/>
  <c r="F8" i="17"/>
  <c r="F6" i="17"/>
  <c r="E6" i="17"/>
  <c r="E9" i="17"/>
  <c r="F7" i="17"/>
  <c r="E7" i="17"/>
  <c r="F5" i="17"/>
  <c r="F10" i="17"/>
  <c r="E8" i="17"/>
  <c r="F9" i="17"/>
  <c r="E5" i="17"/>
  <c r="E10" i="17"/>
  <c r="X64" i="12"/>
  <c r="P64" i="12"/>
  <c r="H64" i="12"/>
  <c r="J68" i="12"/>
  <c r="D66" i="12"/>
  <c r="R68" i="12"/>
  <c r="X69" i="12"/>
  <c r="P69" i="12"/>
  <c r="H69" i="12"/>
  <c r="Z67" i="12"/>
  <c r="R67" i="12"/>
  <c r="J67" i="12"/>
  <c r="T65" i="12"/>
  <c r="L65" i="12"/>
  <c r="D65" i="12"/>
  <c r="Z69" i="12"/>
  <c r="Z68" i="12"/>
  <c r="X68" i="12"/>
  <c r="P68" i="12"/>
  <c r="H68" i="12"/>
  <c r="Z66" i="12"/>
  <c r="R66" i="12"/>
  <c r="J66" i="12"/>
  <c r="H67" i="12"/>
  <c r="R65" i="12"/>
  <c r="R69" i="12"/>
  <c r="X67" i="12"/>
  <c r="P67" i="12"/>
  <c r="Z65" i="12"/>
  <c r="J65" i="12"/>
  <c r="J7" i="7"/>
  <c r="V7" i="7" s="1"/>
  <c r="H7" i="7"/>
  <c r="R7" i="7" s="1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D42" i="2"/>
  <c r="C42" i="2"/>
  <c r="B42" i="2"/>
  <c r="F7" i="7" l="1"/>
  <c r="I7" i="7" s="1"/>
  <c r="S7" i="7" s="1"/>
  <c r="G7" i="7"/>
  <c r="K7" i="7" s="1"/>
  <c r="W7" i="7" s="1"/>
  <c r="D7" i="7"/>
  <c r="E7" i="7"/>
  <c r="B7" i="7"/>
  <c r="C7" i="7"/>
  <c r="N7" i="7" l="1"/>
  <c r="L7" i="7"/>
  <c r="M7" i="7" s="1"/>
  <c r="U7" i="7" s="1"/>
  <c r="O7" i="7"/>
  <c r="Y7" i="7" s="1"/>
  <c r="X7" i="7"/>
  <c r="T7" i="7" l="1"/>
  <c r="B36" i="2"/>
  <c r="J6" i="7" l="1"/>
  <c r="V6" i="7" s="1"/>
  <c r="J5" i="7"/>
  <c r="H6" i="7"/>
  <c r="H5" i="7"/>
  <c r="R5" i="7" s="1"/>
  <c r="V5" i="7" l="1"/>
  <c r="R6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C6" i="7" l="1"/>
  <c r="F6" i="7"/>
  <c r="I6" i="7" s="1"/>
  <c r="S6" i="7" s="1"/>
  <c r="D6" i="7"/>
  <c r="G6" i="7"/>
  <c r="K6" i="7" s="1"/>
  <c r="W6" i="7" s="1"/>
  <c r="E6" i="7"/>
  <c r="B6" i="7"/>
  <c r="D29" i="2"/>
  <c r="C29" i="2"/>
  <c r="B29" i="2"/>
  <c r="N6" i="7" l="1"/>
  <c r="B23" i="2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E26" i="2"/>
  <c r="E29" i="2"/>
  <c r="E28" i="2"/>
  <c r="E25" i="2"/>
  <c r="E27" i="2"/>
  <c r="B16" i="2" l="1"/>
  <c r="E38" i="2"/>
  <c r="E40" i="2"/>
  <c r="E41" i="2"/>
  <c r="E39" i="2"/>
  <c r="E42" i="2"/>
  <c r="B10" i="2" l="1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E12" i="2"/>
  <c r="F26" i="2"/>
  <c r="F25" i="2"/>
  <c r="F27" i="2"/>
  <c r="F28" i="2"/>
  <c r="F29" i="2"/>
  <c r="G25" i="2" l="1"/>
  <c r="G28" i="2"/>
  <c r="G27" i="2"/>
  <c r="G26" i="2"/>
  <c r="D5" i="7"/>
  <c r="F5" i="7"/>
  <c r="I5" i="7" s="1"/>
  <c r="B5" i="7"/>
  <c r="G5" i="7"/>
  <c r="K5" i="7" s="1"/>
  <c r="W5" i="7" s="1"/>
  <c r="E5" i="7"/>
  <c r="C5" i="7"/>
  <c r="F39" i="2"/>
  <c r="F41" i="2"/>
  <c r="F42" i="2"/>
  <c r="F38" i="2"/>
  <c r="F40" i="2"/>
  <c r="G41" i="2" l="1"/>
  <c r="G38" i="2"/>
  <c r="G39" i="2"/>
  <c r="G40" i="2"/>
  <c r="S5" i="7"/>
  <c r="N5" i="7"/>
  <c r="X5" i="7" s="1"/>
  <c r="L6" i="7"/>
  <c r="T6" i="7" s="1"/>
  <c r="L5" i="7"/>
  <c r="T5" i="7" s="1"/>
  <c r="X6" i="7"/>
  <c r="M5" i="7" l="1"/>
  <c r="M6" i="7"/>
  <c r="O5" i="7"/>
  <c r="O6" i="7"/>
  <c r="U5" i="7" l="1"/>
  <c r="Y5" i="7"/>
  <c r="U6" i="7"/>
  <c r="Y6" i="7"/>
  <c r="B3" i="2"/>
  <c r="G29" i="2" l="1"/>
  <c r="G42" i="2"/>
  <c r="D16" i="2"/>
  <c r="I14" i="2"/>
  <c r="H12" i="2"/>
  <c r="H14" i="2"/>
  <c r="E16" i="2"/>
  <c r="E14" i="2"/>
  <c r="I13" i="2"/>
  <c r="E15" i="2"/>
  <c r="E13" i="2"/>
  <c r="I15" i="2"/>
  <c r="H15" i="2"/>
  <c r="F14" i="2"/>
  <c r="I12" i="2"/>
  <c r="F13" i="2"/>
  <c r="H13" i="2"/>
  <c r="F12" i="2"/>
  <c r="F15" i="2"/>
  <c r="C16" i="2" l="1"/>
  <c r="G12" i="2"/>
  <c r="G15" i="2"/>
  <c r="G14" i="2"/>
  <c r="J12" i="2"/>
  <c r="J14" i="2"/>
  <c r="J13" i="2"/>
  <c r="J15" i="2"/>
  <c r="G13" i="2"/>
  <c r="H16" i="2"/>
  <c r="F16" i="2"/>
  <c r="I16" i="2"/>
  <c r="J16" i="2" l="1"/>
  <c r="G16" i="2"/>
</calcChain>
</file>

<file path=xl/comments1.xml><?xml version="1.0" encoding="utf-8"?>
<comments xmlns="http://schemas.openxmlformats.org/spreadsheetml/2006/main">
  <authors>
    <author>1531642</author>
  </authors>
  <commentList>
    <comment ref="G16" authorId="0" shapeId="0">
      <text>
        <r>
          <rPr>
            <sz val="8"/>
            <color indexed="81"/>
            <rFont val="Tahoma"/>
            <family val="2"/>
          </rPr>
          <t xml:space="preserve">Based on # Failures
</t>
        </r>
      </text>
    </comment>
    <comment ref="G42" authorId="0" shapeId="0">
      <text>
        <r>
          <rPr>
            <sz val="8"/>
            <color indexed="81"/>
            <rFont val="Tahoma"/>
            <family val="2"/>
          </rPr>
          <t xml:space="preserve">Based on # Failures
</t>
        </r>
      </text>
    </comment>
  </commentList>
</comments>
</file>

<file path=xl/sharedStrings.xml><?xml version="1.0" encoding="utf-8"?>
<sst xmlns="http://schemas.openxmlformats.org/spreadsheetml/2006/main" count="576" uniqueCount="139">
  <si>
    <t>Accept /Reject the null hypothesis</t>
  </si>
  <si>
    <t>Number of accounts</t>
  </si>
  <si>
    <t>Total</t>
  </si>
  <si>
    <t>Acceptable # of failures</t>
  </si>
  <si>
    <t>Category</t>
  </si>
  <si>
    <t>Segment</t>
  </si>
  <si>
    <t>ODR</t>
  </si>
  <si>
    <t>PD</t>
  </si>
  <si>
    <t>Error</t>
  </si>
  <si>
    <t>In time sample</t>
  </si>
  <si>
    <t>Average of error</t>
  </si>
  <si>
    <t>StdDev of error</t>
  </si>
  <si>
    <t>Count of error</t>
  </si>
  <si>
    <t>R-sq</t>
  </si>
  <si>
    <t>P-value</t>
  </si>
  <si>
    <t>t-stat</t>
  </si>
  <si>
    <t>p-value</t>
  </si>
  <si>
    <t xml:space="preserve">Level of Sig. = </t>
  </si>
  <si>
    <t>OOT</t>
  </si>
  <si>
    <t>In time Sample</t>
  </si>
  <si>
    <t>Bias (In time Sample)</t>
  </si>
  <si>
    <t>BIAS (OOT)</t>
  </si>
  <si>
    <t>Snapshot</t>
  </si>
  <si>
    <t># Trials (Out of time samples)</t>
  </si>
  <si>
    <t>Test Result</t>
  </si>
  <si>
    <t>Portfolio</t>
  </si>
  <si>
    <t>#Customers</t>
  </si>
  <si>
    <t xml:space="preserve">Lower </t>
  </si>
  <si>
    <t>t-stat for Bias</t>
  </si>
  <si>
    <t>2017Q2</t>
  </si>
  <si>
    <t>2017Q1</t>
  </si>
  <si>
    <t>2016Q4</t>
  </si>
  <si>
    <t>2016Q3</t>
  </si>
  <si>
    <t>2016Q2</t>
  </si>
  <si>
    <t>2016Q1</t>
  </si>
  <si>
    <t>2015Q4</t>
  </si>
  <si>
    <t>2015Q3</t>
  </si>
  <si>
    <t>2015Q2</t>
  </si>
  <si>
    <t>2015Q1</t>
  </si>
  <si>
    <t>2014Q4</t>
  </si>
  <si>
    <t>2014Q3</t>
  </si>
  <si>
    <t>2014Q2</t>
  </si>
  <si>
    <t>2014Q1</t>
  </si>
  <si>
    <t>2013Q4</t>
  </si>
  <si>
    <t>2013Q3</t>
  </si>
  <si>
    <t>2013Q2</t>
  </si>
  <si>
    <t>2013Q1</t>
  </si>
  <si>
    <t>2012Q4</t>
  </si>
  <si>
    <t>2012Q3</t>
  </si>
  <si>
    <t>2012Q2</t>
  </si>
  <si>
    <t>2012Q1</t>
  </si>
  <si>
    <t>2011Q4</t>
  </si>
  <si>
    <t>2011Q3</t>
  </si>
  <si>
    <t>2011Q2</t>
  </si>
  <si>
    <t>2011Q1</t>
  </si>
  <si>
    <t>2010Q4</t>
  </si>
  <si>
    <t>2010Q3</t>
  </si>
  <si>
    <t>2010Q2</t>
  </si>
  <si>
    <t>2010Q1</t>
  </si>
  <si>
    <t>2009Q4</t>
  </si>
  <si>
    <t>2009Q3</t>
  </si>
  <si>
    <t>DEV</t>
  </si>
  <si>
    <t>With MEV</t>
  </si>
  <si>
    <t>Unemployment Lag</t>
  </si>
  <si>
    <t>HHI</t>
  </si>
  <si>
    <t>Count</t>
  </si>
  <si>
    <t>Quarter</t>
  </si>
  <si>
    <t>Model 2</t>
  </si>
  <si>
    <t>Model 1</t>
  </si>
  <si>
    <t>RMSE</t>
  </si>
  <si>
    <t xml:space="preserve">Relative </t>
  </si>
  <si>
    <t>INV</t>
  </si>
  <si>
    <t>LOG</t>
  </si>
  <si>
    <t>PD_06</t>
  </si>
  <si>
    <t>PD_05</t>
  </si>
  <si>
    <t>PD_04</t>
  </si>
  <si>
    <t>PD_03</t>
  </si>
  <si>
    <t>PD_02</t>
  </si>
  <si>
    <t>PD_01</t>
  </si>
  <si>
    <t>Dev</t>
  </si>
  <si>
    <t xml:space="preserve">MOB </t>
  </si>
  <si>
    <t>ODR Lag</t>
  </si>
  <si>
    <t>MEVs</t>
  </si>
  <si>
    <t>Segment Biases</t>
  </si>
  <si>
    <t>Performance</t>
  </si>
  <si>
    <t>Coefficients</t>
  </si>
  <si>
    <t>Binomial Test
(based on Independent Assumption )</t>
  </si>
  <si>
    <t>Modified Binomial Test
(Asset Correlation Incorporated)</t>
  </si>
  <si>
    <t>Confidence Level:</t>
  </si>
  <si>
    <t>Acceptable Discrepancy</t>
  </si>
  <si>
    <t>Lower and Upper Boundary</t>
  </si>
  <si>
    <t>Upper</t>
  </si>
  <si>
    <t xml:space="preserve">lower </t>
  </si>
  <si>
    <t>Model</t>
  </si>
  <si>
    <t>Current</t>
  </si>
  <si>
    <t>XDPD</t>
  </si>
  <si>
    <t>30DPD</t>
  </si>
  <si>
    <t>60DPD</t>
  </si>
  <si>
    <t>Y0</t>
  </si>
  <si>
    <t>Y1</t>
  </si>
  <si>
    <t>Y2</t>
  </si>
  <si>
    <t>Y3</t>
  </si>
  <si>
    <t>Y4</t>
  </si>
  <si>
    <t>Y5</t>
  </si>
  <si>
    <t>UER lag</t>
  </si>
  <si>
    <t>MEV</t>
  </si>
  <si>
    <t>Model 3</t>
  </si>
  <si>
    <t>Model 2 (ODR Lag Wt : 0.6)</t>
  </si>
  <si>
    <t>Error within 20% from the minimum error</t>
  </si>
  <si>
    <t>Error within 10% from the minimum error</t>
  </si>
  <si>
    <t>Error within 5% from the minimum error</t>
  </si>
  <si>
    <t>RAW</t>
  </si>
  <si>
    <t>Model Options / UER</t>
  </si>
  <si>
    <t>Naïve Model</t>
  </si>
  <si>
    <t>Model 3 (ODR Lag Wt : 0.5)</t>
  </si>
  <si>
    <t>Model 1 (ODR Lag Wt : 0.65)</t>
  </si>
  <si>
    <t>Observed ODR</t>
  </si>
  <si>
    <t>Predicted FL PD</t>
  </si>
  <si>
    <t>Development Sample (Dec 2008 - Jun 2016)</t>
  </si>
  <si>
    <t>Out of Time (Sep 2016 - Jun 2017)</t>
  </si>
  <si>
    <t>Malaysian Mortgages Current Segment</t>
  </si>
  <si>
    <t># Accounts</t>
  </si>
  <si>
    <t xml:space="preserve">Model 3 </t>
  </si>
  <si>
    <t>year</t>
  </si>
  <si>
    <t>Actual</t>
  </si>
  <si>
    <t>Predicted</t>
  </si>
  <si>
    <t>SEG1</t>
  </si>
  <si>
    <t>SEG2</t>
  </si>
  <si>
    <t>SEG3</t>
  </si>
  <si>
    <t>SEG4</t>
  </si>
  <si>
    <t>SEG5</t>
  </si>
  <si>
    <t>SEG6</t>
  </si>
  <si>
    <t>#FREQ</t>
  </si>
  <si>
    <t>**</t>
  </si>
  <si>
    <t>SEGLIST</t>
  </si>
  <si>
    <t>Year</t>
  </si>
  <si>
    <t>SNAP</t>
  </si>
  <si>
    <r>
      <t xml:space="preserve">SEG            </t>
    </r>
    <r>
      <rPr>
        <sz val="9"/>
        <rFont val="Arial"/>
        <family val="2"/>
      </rPr>
      <t>▼</t>
    </r>
  </si>
  <si>
    <r>
      <t xml:space="preserve">SNAP         </t>
    </r>
    <r>
      <rPr>
        <sz val="9"/>
        <rFont val="Arial"/>
        <family val="2"/>
      </rPr>
      <t>▼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</si>
</sst>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5">
    <numFmt numFmtId="5" formatCode="&quot;$&quot;#,##0_);\(&quot;$&quot;#,##0\)"/>
    <numFmt numFmtId="43" formatCode="_(* #,##0.00_);_(* \(#,##0.00\);_(* &quot;-&quot;??_);_(@_)"/>
    <numFmt numFmtId="164" formatCode="0.0%"/>
    <numFmt numFmtId="165" formatCode="0.0000%"/>
    <numFmt numFmtId="166" formatCode="0.00000"/>
    <numFmt numFmtId="167" formatCode="0.0000"/>
    <numFmt numFmtId="168" formatCode="0.000"/>
    <numFmt numFmtId="169" formatCode="_(* #,##0_);_(* \(#,##0\);_(* &quot;-&quot;??_);_(@_)"/>
    <numFmt numFmtId="170" formatCode="_(* #,##0.00000_);_(* \(#,##0.00000\);_(* &quot;-&quot;??_);_(@_)"/>
    <numFmt numFmtId="171" formatCode="_(* #,##0.0000_);_(* \(#,##0.0000\);_(* &quot;-&quot;??_);_(@_)"/>
    <numFmt numFmtId="172" formatCode="_(* #,##0.0_);_(* \(#,##0.0\);_(* &quot;-&quot;??_);_(@_)"/>
    <numFmt numFmtId="173" formatCode="0.000E+00"/>
    <numFmt numFmtId="174" formatCode="&quot;$&quot;#,##0.00;[Red]\-&quot;$&quot;#,##0.00"/>
    <numFmt numFmtId="175" formatCode="#,##0.0"/>
    <numFmt numFmtId="176" formatCode="0.0000000"/>
    <numFmt numFmtId="177" formatCode=";;;"/>
    <numFmt numFmtId="178" formatCode="#,##0.00;[Red]\(#,##0\)"/>
    <numFmt numFmtId="179" formatCode="#,##0;\-#,##0;&quot;-&quot;"/>
    <numFmt numFmtId="180" formatCode="General_)"/>
    <numFmt numFmtId="181" formatCode="\t0%"/>
    <numFmt numFmtId="182" formatCode="_ * #,##0.00_)&quot;£&quot;_ ;_ * \(#,##0.00\)&quot;£&quot;_ ;_ * &quot;-&quot;??_)&quot;£&quot;_ ;_ @_ "/>
    <numFmt numFmtId="183" formatCode="\ª\.\¹\¹\ &quot;¹.&quot;"/>
    <numFmt numFmtId="184" formatCode="_ * #,##0.00_)_£_ ;_ * \(#,##0.00\)_£_ ;_ * &quot;-&quot;??_)_£_ ;_ @_ "/>
    <numFmt numFmtId="185" formatCode="_-* #,##0.00_-;\-* #,##0.00_-;_-* &quot;-&quot;??_-;_-@_-"/>
    <numFmt numFmtId="186" formatCode="&quot;RM&quot;#,##0.00;\-&quot;RM&quot;#,##0.00"/>
    <numFmt numFmtId="187" formatCode="_ * #,##0_ ;_ * \-#,##0_ ;_ * &quot;-&quot;_ ;_ @_ "/>
    <numFmt numFmtId="188" formatCode="_ * #,##0.00_ ;_ * \-#,##0.00_ ;_ * &quot;-&quot;??_ ;_ @_ "/>
    <numFmt numFmtId="189" formatCode="#,##0.0_);\(#,##0.0\);;\ \ @"/>
    <numFmt numFmtId="190" formatCode="mmm_yyyyy"/>
    <numFmt numFmtId="191" formatCode="&quot;\&quot;#,##0;\-&quot;\&quot;#,##0"/>
    <numFmt numFmtId="192" formatCode="&quot;\&quot;#,##0.00;\-&quot;\&quot;#,##0.00"/>
    <numFmt numFmtId="193" formatCode="_-&quot;\&quot;* #,##0.00_-;&quot;\&quot;&quot;\&quot;&quot;\&quot;&quot;\&quot;&quot;\&quot;&quot;\&quot;&quot;\&quot;&quot;\&quot;\-&quot;\&quot;* #,##0.00_-;_-&quot;\&quot;* &quot;-&quot;??_-;_-@_-"/>
    <numFmt numFmtId="194" formatCode="&quot;\&quot;#,##0;[Red]\-&quot;\&quot;#,##0"/>
    <numFmt numFmtId="195" formatCode="_-* #,##0\ _F_-;\-* #,##0\ _F_-;_-* &quot;-&quot;\ _F_-;_-@_-"/>
    <numFmt numFmtId="196" formatCode="&quot;$&quot;#,##0;\-&quot;$&quot;#,##0"/>
    <numFmt numFmtId="197" formatCode="#,##0\ &quot;F&quot;;[Red]\-#,##0\ &quot;F&quot;"/>
    <numFmt numFmtId="198" formatCode="#,##0.00\ &quot;F&quot;;\-#,##0.00\ &quot;F&quot;"/>
    <numFmt numFmtId="199" formatCode="#,##0,"/>
    <numFmt numFmtId="200" formatCode="_-* #,##0_-;\-* #,##0_-;_-* &quot;-&quot;_-;_-@_-"/>
    <numFmt numFmtId="201" formatCode="_-&quot;$&quot;* #,##0_-;\-&quot;$&quot;* #,##0_-;_-&quot;$&quot;* &quot;-&quot;_-;_-@_-"/>
    <numFmt numFmtId="202" formatCode="_-&quot;$&quot;* #,##0.00_-;\-&quot;$&quot;* #,##0.00_-;_-&quot;$&quot;* &quot;-&quot;??_-;_-@_-"/>
    <numFmt numFmtId="203" formatCode="_(* #,##0.000_);_(* \(#,##0.000\);_(* &quot;-&quot;??_);_(@_)"/>
    <numFmt numFmtId="204" formatCode="0.000000"/>
    <numFmt numFmtId="205" formatCode="0.0E+00"/>
    <numFmt numFmtId="206" formatCode="0.0"/>
  </numFmts>
  <fonts count="83">
    <font>
      <sz val="10"/>
      <name val="Arial"/>
      <family val="2"/>
    </font>
    <font>
      <sz val="9"/>
      <color theme="1"/>
      <name val="Calibri"/>
      <family val="2"/>
    </font>
    <font>
      <sz val="9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9"/>
      <color indexed="12"/>
      <name val="Times New Roman"/>
      <family val="1"/>
    </font>
    <font>
      <sz val="12"/>
      <name val="¹ÙÅÁÃ¼"/>
      <family val="2"/>
      <charset val="129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u/>
      <sz val="9"/>
      <color indexed="36"/>
      <name val="Times New Roman"/>
      <family val="1"/>
    </font>
    <font>
      <sz val="8"/>
      <name val="Times New Roman"/>
      <family val="1"/>
    </font>
    <font>
      <sz val="11"/>
      <color indexed="20"/>
      <name val="Calibri"/>
      <family val="2"/>
    </font>
    <font>
      <sz val="7"/>
      <name val="Helv"/>
    </font>
    <font>
      <sz val="12"/>
      <name val="Tms Rmn"/>
    </font>
    <font>
      <b/>
      <sz val="10"/>
      <name val="MS Sans Serif"/>
      <family val="2"/>
    </font>
    <font>
      <sz val="12"/>
      <name val="±¼¸²Ã¼"/>
      <family val="2"/>
      <charset val="129"/>
    </font>
    <font>
      <sz val="10"/>
      <color indexed="8"/>
      <name val="Arial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sz val="10"/>
      <name val="Helv"/>
    </font>
    <font>
      <sz val="10"/>
      <name val="MS Serif"/>
      <family val="1"/>
    </font>
    <font>
      <sz val="10"/>
      <color indexed="16"/>
      <name val="MS Serif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8.8000000000000007"/>
      <color indexed="12"/>
      <name val="Calibri"/>
      <family val="2"/>
    </font>
    <font>
      <u/>
      <sz val="11"/>
      <color theme="10"/>
      <name val="Calibri"/>
      <family val="2"/>
    </font>
    <font>
      <u/>
      <sz val="9.35"/>
      <color theme="10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Helv"/>
      <family val="2"/>
    </font>
    <font>
      <sz val="11"/>
      <color indexed="60"/>
      <name val="Calibri"/>
      <family val="2"/>
    </font>
    <font>
      <sz val="10"/>
      <name val="Courier"/>
      <family val="3"/>
    </font>
    <font>
      <sz val="11"/>
      <name val="–¾’©"/>
    </font>
    <font>
      <b/>
      <sz val="11"/>
      <color indexed="63"/>
      <name val="Calibri"/>
      <family val="2"/>
    </font>
    <font>
      <sz val="10"/>
      <name val="Times New Roman"/>
      <family val="1"/>
    </font>
    <font>
      <sz val="10"/>
      <name val="Tms Rmn"/>
    </font>
    <font>
      <sz val="7"/>
      <color indexed="10"/>
      <name val="Helv"/>
    </font>
    <font>
      <sz val="8"/>
      <name val="Helv"/>
    </font>
    <font>
      <b/>
      <sz val="8"/>
      <color indexed="8"/>
      <name val="Helv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Times New Roman"/>
      <family val="1"/>
    </font>
    <font>
      <sz val="12"/>
      <name val="新細明體"/>
      <charset val="136"/>
    </font>
    <font>
      <sz val="10"/>
      <color indexed="8"/>
      <name val="楲污†††"/>
      <family val="2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color indexed="1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6" tint="-0.249977111117893"/>
      <name val="Calibri"/>
      <family val="2"/>
    </font>
    <font>
      <sz val="9"/>
      <name val="Calibri"/>
      <family val="2"/>
    </font>
    <font>
      <b/>
      <sz val="9"/>
      <color theme="1"/>
      <name val="Calibri"/>
      <family val="2"/>
      <scheme val="minor"/>
    </font>
    <font>
      <sz val="9"/>
      <name val="Arial"/>
      <family val="2"/>
    </font>
    <font>
      <sz val="1"/>
      <color theme="0"/>
      <name val="Calibri"/>
      <family val="2"/>
      <scheme val="minor"/>
    </font>
  </fonts>
  <fills count="7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1"/>
        <bgColor indexed="64"/>
      </patternFill>
    </fill>
    <fill>
      <patternFill patternType="solid">
        <fgColor rgb="FF8DB4E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32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174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4" fillId="0" borderId="0"/>
    <xf numFmtId="9" fontId="24" fillId="0" borderId="0" applyFont="0" applyFill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25" fillId="39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25" fillId="40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25" fillId="41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25" fillId="42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25" fillId="43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25" fillId="44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25" fillId="4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25" fillId="46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25" fillId="4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25" fillId="42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25" fillId="45" borderId="0" applyNumberFormat="0" applyBorder="0" applyAlignment="0" applyProtection="0"/>
    <xf numFmtId="0" fontId="3" fillId="35" borderId="0" applyNumberFormat="0" applyBorder="0" applyAlignment="0" applyProtection="0"/>
    <xf numFmtId="0" fontId="3" fillId="35" borderId="0" applyNumberFormat="0" applyBorder="0" applyAlignment="0" applyProtection="0"/>
    <xf numFmtId="0" fontId="25" fillId="48" borderId="0" applyNumberFormat="0" applyBorder="0" applyAlignment="0" applyProtection="0"/>
    <xf numFmtId="0" fontId="26" fillId="49" borderId="0" applyNumberFormat="0" applyBorder="0" applyAlignment="0" applyProtection="0"/>
    <xf numFmtId="0" fontId="22" fillId="16" borderId="0" applyNumberFormat="0" applyBorder="0" applyAlignment="0" applyProtection="0"/>
    <xf numFmtId="0" fontId="26" fillId="46" borderId="0" applyNumberFormat="0" applyBorder="0" applyAlignment="0" applyProtection="0"/>
    <xf numFmtId="0" fontId="22" fillId="20" borderId="0" applyNumberFormat="0" applyBorder="0" applyAlignment="0" applyProtection="0"/>
    <xf numFmtId="0" fontId="26" fillId="47" borderId="0" applyNumberFormat="0" applyBorder="0" applyAlignment="0" applyProtection="0"/>
    <xf numFmtId="0" fontId="22" fillId="24" borderId="0" applyNumberFormat="0" applyBorder="0" applyAlignment="0" applyProtection="0"/>
    <xf numFmtId="0" fontId="26" fillId="50" borderId="0" applyNumberFormat="0" applyBorder="0" applyAlignment="0" applyProtection="0"/>
    <xf numFmtId="0" fontId="22" fillId="28" borderId="0" applyNumberFormat="0" applyBorder="0" applyAlignment="0" applyProtection="0"/>
    <xf numFmtId="0" fontId="26" fillId="51" borderId="0" applyNumberFormat="0" applyBorder="0" applyAlignment="0" applyProtection="0"/>
    <xf numFmtId="0" fontId="22" fillId="32" borderId="0" applyNumberFormat="0" applyBorder="0" applyAlignment="0" applyProtection="0"/>
    <xf numFmtId="0" fontId="26" fillId="52" borderId="0" applyNumberFormat="0" applyBorder="0" applyAlignment="0" applyProtection="0"/>
    <xf numFmtId="0" fontId="22" fillId="36" borderId="0" applyNumberFormat="0" applyBorder="0" applyAlignment="0" applyProtection="0"/>
    <xf numFmtId="0" fontId="26" fillId="53" borderId="0" applyNumberFormat="0" applyBorder="0" applyAlignment="0" applyProtection="0"/>
    <xf numFmtId="0" fontId="22" fillId="13" borderId="0" applyNumberFormat="0" applyBorder="0" applyAlignment="0" applyProtection="0"/>
    <xf numFmtId="0" fontId="26" fillId="54" borderId="0" applyNumberFormat="0" applyBorder="0" applyAlignment="0" applyProtection="0"/>
    <xf numFmtId="0" fontId="22" fillId="17" borderId="0" applyNumberFormat="0" applyBorder="0" applyAlignment="0" applyProtection="0"/>
    <xf numFmtId="0" fontId="26" fillId="55" borderId="0" applyNumberFormat="0" applyBorder="0" applyAlignment="0" applyProtection="0"/>
    <xf numFmtId="0" fontId="22" fillId="21" borderId="0" applyNumberFormat="0" applyBorder="0" applyAlignment="0" applyProtection="0"/>
    <xf numFmtId="0" fontId="26" fillId="50" borderId="0" applyNumberFormat="0" applyBorder="0" applyAlignment="0" applyProtection="0"/>
    <xf numFmtId="0" fontId="22" fillId="25" borderId="0" applyNumberFormat="0" applyBorder="0" applyAlignment="0" applyProtection="0"/>
    <xf numFmtId="0" fontId="26" fillId="51" borderId="0" applyNumberFormat="0" applyBorder="0" applyAlignment="0" applyProtection="0"/>
    <xf numFmtId="0" fontId="22" fillId="29" borderId="0" applyNumberFormat="0" applyBorder="0" applyAlignment="0" applyProtection="0"/>
    <xf numFmtId="0" fontId="26" fillId="56" borderId="0" applyNumberFormat="0" applyBorder="0" applyAlignment="0" applyProtection="0"/>
    <xf numFmtId="0" fontId="22" fillId="33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0" fontId="28" fillId="0" borderId="0">
      <alignment horizontal="center" wrapText="1"/>
      <protection locked="0"/>
    </xf>
    <xf numFmtId="177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0" fontId="4" fillId="0" borderId="0"/>
    <xf numFmtId="0" fontId="29" fillId="40" borderId="0" applyNumberFormat="0" applyBorder="0" applyAlignment="0" applyProtection="0"/>
    <xf numFmtId="0" fontId="12" fillId="7" borderId="0" applyNumberFormat="0" applyBorder="0" applyAlignment="0" applyProtection="0"/>
    <xf numFmtId="3" fontId="30" fillId="0" borderId="0"/>
    <xf numFmtId="0" fontId="31" fillId="0" borderId="0" applyNumberFormat="0" applyFill="0" applyBorder="0" applyAlignment="0" applyProtection="0"/>
    <xf numFmtId="5" fontId="32" fillId="0" borderId="15" applyAlignment="0" applyProtection="0"/>
    <xf numFmtId="0" fontId="33" fillId="0" borderId="0"/>
    <xf numFmtId="179" fontId="34" fillId="0" borderId="0" applyFill="0" applyBorder="0" applyAlignment="0"/>
    <xf numFmtId="180" fontId="35" fillId="0" borderId="0" applyFill="0" applyBorder="0" applyAlignment="0"/>
    <xf numFmtId="168" fontId="35" fillId="0" borderId="0" applyFill="0" applyBorder="0" applyAlignment="0"/>
    <xf numFmtId="181" fontId="4" fillId="0" borderId="0" applyFill="0" applyBorder="0" applyAlignment="0"/>
    <xf numFmtId="182" fontId="4" fillId="0" borderId="0" applyFill="0" applyBorder="0" applyAlignment="0"/>
    <xf numFmtId="183" fontId="4" fillId="0" borderId="0" applyFill="0" applyBorder="0" applyAlignment="0"/>
    <xf numFmtId="184" fontId="4" fillId="0" borderId="0" applyFill="0" applyBorder="0" applyAlignment="0"/>
    <xf numFmtId="180" fontId="35" fillId="0" borderId="0" applyFill="0" applyBorder="0" applyAlignment="0"/>
    <xf numFmtId="0" fontId="36" fillId="57" borderId="21" applyNumberFormat="0" applyAlignment="0" applyProtection="0"/>
    <xf numFmtId="0" fontId="16" fillId="10" borderId="9" applyNumberFormat="0" applyAlignment="0" applyProtection="0"/>
    <xf numFmtId="0" fontId="36" fillId="57" borderId="21" applyNumberFormat="0" applyAlignment="0" applyProtection="0"/>
    <xf numFmtId="0" fontId="36" fillId="57" borderId="21" applyNumberFormat="0" applyAlignment="0" applyProtection="0"/>
    <xf numFmtId="0" fontId="36" fillId="57" borderId="21" applyNumberFormat="0" applyAlignment="0" applyProtection="0"/>
    <xf numFmtId="0" fontId="36" fillId="57" borderId="21" applyNumberFormat="0" applyAlignment="0" applyProtection="0"/>
    <xf numFmtId="0" fontId="36" fillId="57" borderId="21" applyNumberFormat="0" applyAlignment="0" applyProtection="0"/>
    <xf numFmtId="0" fontId="36" fillId="57" borderId="21" applyNumberFormat="0" applyAlignment="0" applyProtection="0"/>
    <xf numFmtId="0" fontId="37" fillId="58" borderId="22" applyNumberFormat="0" applyAlignment="0" applyProtection="0"/>
    <xf numFmtId="0" fontId="18" fillId="11" borderId="12" applyNumberFormat="0" applyAlignment="0" applyProtection="0"/>
    <xf numFmtId="18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8" fillId="0" borderId="0" applyFont="0" applyFill="0" applyBorder="0" applyAlignment="0" applyProtection="0"/>
    <xf numFmtId="185" fontId="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39" fillId="0" borderId="0"/>
    <xf numFmtId="0" fontId="40" fillId="0" borderId="0" applyNumberFormat="0" applyAlignment="0">
      <alignment horizontal="left"/>
    </xf>
    <xf numFmtId="0" fontId="39" fillId="0" borderId="0"/>
    <xf numFmtId="180" fontId="35" fillId="0" borderId="0" applyFont="0" applyFill="0" applyBorder="0" applyAlignment="0" applyProtection="0"/>
    <xf numFmtId="186" fontId="4" fillId="0" borderId="0">
      <protection locked="0"/>
    </xf>
    <xf numFmtId="14" fontId="34" fillId="0" borderId="0" applyFill="0" applyBorder="0" applyAlignment="0"/>
    <xf numFmtId="0" fontId="38" fillId="0" borderId="0"/>
    <xf numFmtId="38" fontId="38" fillId="0" borderId="23">
      <alignment vertical="center"/>
    </xf>
    <xf numFmtId="187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83" fontId="4" fillId="0" borderId="0" applyFill="0" applyBorder="0" applyAlignment="0"/>
    <xf numFmtId="180" fontId="35" fillId="0" borderId="0" applyFill="0" applyBorder="0" applyAlignment="0"/>
    <xf numFmtId="183" fontId="4" fillId="0" borderId="0" applyFill="0" applyBorder="0" applyAlignment="0"/>
    <xf numFmtId="184" fontId="4" fillId="0" borderId="0" applyFill="0" applyBorder="0" applyAlignment="0"/>
    <xf numFmtId="180" fontId="35" fillId="0" borderId="0" applyFill="0" applyBorder="0" applyAlignment="0"/>
    <xf numFmtId="0" fontId="41" fillId="0" borderId="0" applyNumberFormat="0" applyAlignment="0">
      <alignment horizontal="left"/>
    </xf>
    <xf numFmtId="0" fontId="42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6" fontId="4" fillId="0" borderId="0">
      <protection locked="0"/>
    </xf>
    <xf numFmtId="0" fontId="43" fillId="41" borderId="0" applyNumberFormat="0" applyBorder="0" applyAlignment="0" applyProtection="0"/>
    <xf numFmtId="0" fontId="11" fillId="6" borderId="0" applyNumberFormat="0" applyBorder="0" applyAlignment="0" applyProtection="0"/>
    <xf numFmtId="38" fontId="5" fillId="59" borderId="0" applyNumberFormat="0" applyBorder="0" applyAlignment="0" applyProtection="0"/>
    <xf numFmtId="0" fontId="44" fillId="0" borderId="24" applyNumberFormat="0" applyAlignment="0" applyProtection="0">
      <alignment horizontal="left" vertical="center"/>
    </xf>
    <xf numFmtId="0" fontId="44" fillId="0" borderId="3">
      <alignment horizontal="left" vertical="center"/>
    </xf>
    <xf numFmtId="0" fontId="45" fillId="0" borderId="25" applyNumberFormat="0" applyFill="0" applyAlignment="0" applyProtection="0"/>
    <xf numFmtId="0" fontId="8" fillId="0" borderId="6" applyNumberFormat="0" applyFill="0" applyAlignment="0" applyProtection="0"/>
    <xf numFmtId="0" fontId="46" fillId="0" borderId="26" applyNumberFormat="0" applyFill="0" applyAlignment="0" applyProtection="0"/>
    <xf numFmtId="0" fontId="9" fillId="0" borderId="7" applyNumberFormat="0" applyFill="0" applyAlignment="0" applyProtection="0"/>
    <xf numFmtId="0" fontId="47" fillId="0" borderId="27" applyNumberFormat="0" applyFill="0" applyAlignment="0" applyProtection="0"/>
    <xf numFmtId="0" fontId="10" fillId="0" borderId="8" applyNumberFormat="0" applyFill="0" applyAlignment="0" applyProtection="0"/>
    <xf numFmtId="0" fontId="47" fillId="0" borderId="27" applyNumberFormat="0" applyFill="0" applyAlignment="0" applyProtection="0"/>
    <xf numFmtId="0" fontId="47" fillId="0" borderId="27" applyNumberFormat="0" applyFill="0" applyAlignment="0" applyProtection="0"/>
    <xf numFmtId="0" fontId="47" fillId="0" borderId="27" applyNumberFormat="0" applyFill="0" applyAlignment="0" applyProtection="0"/>
    <xf numFmtId="0" fontId="47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186" fontId="4" fillId="0" borderId="0">
      <protection locked="0"/>
    </xf>
    <xf numFmtId="186" fontId="4" fillId="0" borderId="0">
      <protection locked="0"/>
    </xf>
    <xf numFmtId="0" fontId="48" fillId="0" borderId="0" applyNumberFormat="0" applyFill="0" applyBorder="0" applyAlignment="0" applyProtection="0">
      <alignment vertical="top"/>
      <protection locked="0"/>
    </xf>
    <xf numFmtId="0" fontId="49" fillId="0" borderId="0" applyNumberFormat="0" applyFill="0" applyBorder="0" applyAlignment="0" applyProtection="0">
      <alignment vertical="top"/>
      <protection locked="0"/>
    </xf>
    <xf numFmtId="0" fontId="50" fillId="0" borderId="0" applyNumberFormat="0" applyFill="0" applyBorder="0" applyAlignment="0" applyProtection="0">
      <alignment vertical="top"/>
      <protection locked="0"/>
    </xf>
    <xf numFmtId="0" fontId="50" fillId="0" borderId="0" applyNumberFormat="0" applyFill="0" applyBorder="0" applyAlignment="0" applyProtection="0">
      <alignment vertical="top"/>
      <protection locked="0"/>
    </xf>
    <xf numFmtId="189" fontId="4" fillId="0" borderId="0" applyFont="0" applyFill="0" applyBorder="0" applyAlignment="0" applyProtection="0"/>
    <xf numFmtId="10" fontId="5" fillId="60" borderId="1" applyNumberFormat="0" applyBorder="0" applyAlignment="0" applyProtection="0"/>
    <xf numFmtId="0" fontId="51" fillId="44" borderId="21" applyNumberFormat="0" applyAlignment="0" applyProtection="0"/>
    <xf numFmtId="0" fontId="14" fillId="9" borderId="9" applyNumberFormat="0" applyAlignment="0" applyProtection="0"/>
    <xf numFmtId="0" fontId="51" fillId="44" borderId="21" applyNumberFormat="0" applyAlignment="0" applyProtection="0"/>
    <xf numFmtId="0" fontId="51" fillId="44" borderId="21" applyNumberFormat="0" applyAlignment="0" applyProtection="0"/>
    <xf numFmtId="0" fontId="51" fillId="44" borderId="21" applyNumberFormat="0" applyAlignment="0" applyProtection="0"/>
    <xf numFmtId="0" fontId="51" fillId="44" borderId="21" applyNumberFormat="0" applyAlignment="0" applyProtection="0"/>
    <xf numFmtId="0" fontId="51" fillId="44" borderId="21" applyNumberFormat="0" applyAlignment="0" applyProtection="0"/>
    <xf numFmtId="0" fontId="51" fillId="44" borderId="21" applyNumberFormat="0" applyAlignment="0" applyProtection="0"/>
    <xf numFmtId="183" fontId="4" fillId="0" borderId="0" applyFill="0" applyBorder="0" applyAlignment="0"/>
    <xf numFmtId="180" fontId="35" fillId="0" borderId="0" applyFill="0" applyBorder="0" applyAlignment="0"/>
    <xf numFmtId="183" fontId="4" fillId="0" borderId="0" applyFill="0" applyBorder="0" applyAlignment="0"/>
    <xf numFmtId="184" fontId="4" fillId="0" borderId="0" applyFill="0" applyBorder="0" applyAlignment="0"/>
    <xf numFmtId="180" fontId="35" fillId="0" borderId="0" applyFill="0" applyBorder="0" applyAlignment="0"/>
    <xf numFmtId="0" fontId="52" fillId="0" borderId="28" applyNumberFormat="0" applyFill="0" applyAlignment="0" applyProtection="0"/>
    <xf numFmtId="0" fontId="17" fillId="0" borderId="11" applyNumberFormat="0" applyFill="0" applyAlignment="0" applyProtection="0"/>
    <xf numFmtId="190" fontId="53" fillId="61" borderId="1">
      <alignment horizontal="center"/>
    </xf>
    <xf numFmtId="191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3" fontId="4" fillId="0" borderId="0" applyFont="0" applyFill="0" applyBorder="0" applyAlignment="0" applyProtection="0"/>
    <xf numFmtId="194" fontId="4" fillId="0" borderId="0" applyFont="0" applyFill="0" applyBorder="0" applyAlignment="0" applyProtection="0"/>
    <xf numFmtId="0" fontId="53" fillId="37" borderId="1">
      <alignment horizontal="center"/>
    </xf>
    <xf numFmtId="17" fontId="53" fillId="62" borderId="1">
      <alignment horizontal="left"/>
    </xf>
    <xf numFmtId="190" fontId="53" fillId="0" borderId="1">
      <alignment horizontal="center"/>
    </xf>
    <xf numFmtId="3" fontId="53" fillId="0" borderId="1">
      <alignment horizontal="center"/>
    </xf>
    <xf numFmtId="3" fontId="53" fillId="0" borderId="0">
      <alignment horizontal="center"/>
    </xf>
    <xf numFmtId="10" fontId="53" fillId="0" borderId="1">
      <alignment horizontal="center"/>
    </xf>
    <xf numFmtId="10" fontId="53" fillId="0" borderId="0">
      <alignment horizontal="center"/>
    </xf>
    <xf numFmtId="0" fontId="53" fillId="0" borderId="1"/>
    <xf numFmtId="0" fontId="54" fillId="63" borderId="0" applyNumberFormat="0" applyBorder="0" applyAlignment="0" applyProtection="0"/>
    <xf numFmtId="0" fontId="13" fillId="8" borderId="0" applyNumberFormat="0" applyBorder="0" applyAlignment="0" applyProtection="0"/>
    <xf numFmtId="0" fontId="55" fillId="0" borderId="0"/>
    <xf numFmtId="0" fontId="4" fillId="0" borderId="0"/>
    <xf numFmtId="0" fontId="3" fillId="0" borderId="0" applyNumberFormat="0" applyFill="0" applyBorder="0" applyAlignment="0" applyProtection="0"/>
    <xf numFmtId="0" fontId="25" fillId="0" borderId="0"/>
    <xf numFmtId="0" fontId="4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12" borderId="13" applyNumberFormat="0" applyFont="0" applyAlignment="0" applyProtection="0"/>
    <xf numFmtId="0" fontId="3" fillId="12" borderId="13" applyNumberFormat="0" applyFont="0" applyAlignment="0" applyProtection="0"/>
    <xf numFmtId="0" fontId="25" fillId="64" borderId="29" applyNumberFormat="0" applyFont="0" applyAlignment="0" applyProtection="0"/>
    <xf numFmtId="0" fontId="25" fillId="64" borderId="29" applyNumberFormat="0" applyFont="0" applyAlignment="0" applyProtection="0"/>
    <xf numFmtId="0" fontId="25" fillId="64" borderId="29" applyNumberFormat="0" applyFont="0" applyAlignment="0" applyProtection="0"/>
    <xf numFmtId="0" fontId="25" fillId="64" borderId="29" applyNumberFormat="0" applyFont="0" applyAlignment="0" applyProtection="0"/>
    <xf numFmtId="0" fontId="25" fillId="64" borderId="29" applyNumberFormat="0" applyFont="0" applyAlignment="0" applyProtection="0"/>
    <xf numFmtId="0" fontId="25" fillId="64" borderId="29" applyNumberFormat="0" applyFont="0" applyAlignment="0" applyProtection="0"/>
    <xf numFmtId="0" fontId="25" fillId="64" borderId="29" applyNumberFormat="0" applyFont="0" applyAlignment="0" applyProtection="0"/>
    <xf numFmtId="0" fontId="3" fillId="12" borderId="13" applyNumberFormat="0" applyFont="0" applyAlignment="0" applyProtection="0"/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7" fillId="57" borderId="30" applyNumberFormat="0" applyAlignment="0" applyProtection="0"/>
    <xf numFmtId="0" fontId="15" fillId="10" borderId="10" applyNumberFormat="0" applyAlignment="0" applyProtection="0"/>
    <xf numFmtId="0" fontId="57" fillId="57" borderId="30" applyNumberFormat="0" applyAlignment="0" applyProtection="0"/>
    <xf numFmtId="0" fontId="57" fillId="57" borderId="30" applyNumberFormat="0" applyAlignment="0" applyProtection="0"/>
    <xf numFmtId="0" fontId="57" fillId="57" borderId="30" applyNumberFormat="0" applyAlignment="0" applyProtection="0"/>
    <xf numFmtId="0" fontId="57" fillId="57" borderId="30" applyNumberFormat="0" applyAlignment="0" applyProtection="0"/>
    <xf numFmtId="0" fontId="57" fillId="57" borderId="30" applyNumberFormat="0" applyAlignment="0" applyProtection="0"/>
    <xf numFmtId="0" fontId="57" fillId="57" borderId="30" applyNumberFormat="0" applyAlignment="0" applyProtection="0"/>
    <xf numFmtId="0" fontId="58" fillId="0" borderId="0"/>
    <xf numFmtId="14" fontId="28" fillId="0" borderId="0">
      <alignment horizontal="center" wrapText="1"/>
      <protection locked="0"/>
    </xf>
    <xf numFmtId="182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3" fillId="0" borderId="0" applyFont="0" applyFill="0" applyBorder="0" applyAlignment="0" applyProtection="0"/>
    <xf numFmtId="183" fontId="4" fillId="0" borderId="0" applyFill="0" applyBorder="0" applyAlignment="0"/>
    <xf numFmtId="180" fontId="35" fillId="0" borderId="0" applyFill="0" applyBorder="0" applyAlignment="0"/>
    <xf numFmtId="183" fontId="4" fillId="0" borderId="0" applyFill="0" applyBorder="0" applyAlignment="0"/>
    <xf numFmtId="184" fontId="4" fillId="0" borderId="0" applyFill="0" applyBorder="0" applyAlignment="0"/>
    <xf numFmtId="180" fontId="35" fillId="0" borderId="0" applyFill="0" applyBorder="0" applyAlignment="0"/>
    <xf numFmtId="196" fontId="59" fillId="0" borderId="0"/>
    <xf numFmtId="0" fontId="38" fillId="0" borderId="0" applyNumberFormat="0" applyFont="0" applyFill="0" applyBorder="0" applyAlignment="0" applyProtection="0">
      <alignment horizontal="left"/>
    </xf>
    <xf numFmtId="4" fontId="38" fillId="0" borderId="0" applyFont="0" applyFill="0" applyBorder="0" applyAlignment="0" applyProtection="0"/>
    <xf numFmtId="3" fontId="38" fillId="0" borderId="0" applyFont="0" applyFill="0" applyBorder="0" applyAlignment="0" applyProtection="0"/>
    <xf numFmtId="3" fontId="60" fillId="0" borderId="0"/>
    <xf numFmtId="14" fontId="61" fillId="0" borderId="0" applyNumberFormat="0" applyFill="0" applyBorder="0" applyAlignment="0" applyProtection="0">
      <alignment horizontal="left"/>
    </xf>
    <xf numFmtId="0" fontId="4" fillId="0" borderId="0"/>
    <xf numFmtId="0" fontId="4" fillId="0" borderId="0"/>
    <xf numFmtId="40" fontId="62" fillId="0" borderId="0" applyBorder="0">
      <alignment horizontal="right"/>
    </xf>
    <xf numFmtId="49" fontId="34" fillId="0" borderId="0" applyFill="0" applyBorder="0" applyAlignment="0"/>
    <xf numFmtId="197" fontId="4" fillId="0" borderId="0" applyFill="0" applyBorder="0" applyAlignment="0"/>
    <xf numFmtId="198" fontId="4" fillId="0" borderId="0" applyFill="0" applyBorder="0" applyAlignment="0"/>
    <xf numFmtId="40" fontId="4" fillId="0" borderId="0"/>
    <xf numFmtId="0" fontId="6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4" fillId="0" borderId="31" applyNumberFormat="0" applyFill="0" applyAlignment="0" applyProtection="0"/>
    <xf numFmtId="0" fontId="21" fillId="0" borderId="14" applyNumberFormat="0" applyFill="0" applyAlignment="0" applyProtection="0"/>
    <xf numFmtId="0" fontId="64" fillId="0" borderId="31" applyNumberFormat="0" applyFill="0" applyAlignment="0" applyProtection="0"/>
    <xf numFmtId="0" fontId="64" fillId="0" borderId="31" applyNumberFormat="0" applyFill="0" applyAlignment="0" applyProtection="0"/>
    <xf numFmtId="0" fontId="64" fillId="0" borderId="31" applyNumberFormat="0" applyFill="0" applyAlignment="0" applyProtection="0"/>
    <xf numFmtId="0" fontId="64" fillId="0" borderId="31" applyNumberFormat="0" applyFill="0" applyAlignment="0" applyProtection="0"/>
    <xf numFmtId="0" fontId="64" fillId="0" borderId="31" applyNumberFormat="0" applyFill="0" applyAlignment="0" applyProtection="0"/>
    <xf numFmtId="0" fontId="64" fillId="0" borderId="31" applyNumberFormat="0" applyFill="0" applyAlignment="0" applyProtection="0"/>
    <xf numFmtId="199" fontId="4" fillId="0" borderId="0" applyFont="0" applyFill="0" applyBorder="0" applyAlignment="0" applyProtection="0"/>
    <xf numFmtId="200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201" fontId="4" fillId="0" borderId="0" applyFont="0" applyFill="0" applyBorder="0" applyAlignment="0" applyProtection="0"/>
    <xf numFmtId="202" fontId="4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4" fillId="0" borderId="0"/>
    <xf numFmtId="0" fontId="66" fillId="0" borderId="0"/>
    <xf numFmtId="200" fontId="67" fillId="0" borderId="0" applyFont="0" applyFill="0" applyBorder="0" applyAlignment="0" applyProtection="0"/>
    <xf numFmtId="0" fontId="68" fillId="0" borderId="0"/>
    <xf numFmtId="0" fontId="2" fillId="0" borderId="0"/>
    <xf numFmtId="9" fontId="2" fillId="0" borderId="0" applyFont="0" applyFill="0" applyBorder="0" applyAlignment="0" applyProtection="0"/>
  </cellStyleXfs>
  <cellXfs count="166">
    <xf numFmtId="0" fontId="0" fillId="0" borderId="0" xfId="0"/>
    <xf numFmtId="0" fontId="2" fillId="0" borderId="0" xfId="321"/>
    <xf numFmtId="0" fontId="2" fillId="0" borderId="0" xfId="321" applyAlignment="1">
      <alignment wrapText="1"/>
    </xf>
    <xf numFmtId="10" fontId="69" fillId="0" borderId="2" xfId="322" applyNumberFormat="1" applyFont="1" applyBorder="1" applyAlignment="1">
      <alignment vertical="top" wrapText="1"/>
    </xf>
    <xf numFmtId="204" fontId="69" fillId="0" borderId="1" xfId="321" applyNumberFormat="1" applyFont="1" applyBorder="1" applyAlignment="1">
      <alignment vertical="top" wrapText="1"/>
    </xf>
    <xf numFmtId="0" fontId="69" fillId="0" borderId="1" xfId="321" applyFont="1" applyBorder="1" applyAlignment="1">
      <alignment vertical="top" wrapText="1"/>
    </xf>
    <xf numFmtId="0" fontId="69" fillId="0" borderId="1" xfId="321" applyFont="1" applyFill="1" applyBorder="1" applyAlignment="1">
      <alignment horizontal="center" vertical="top" wrapText="1"/>
    </xf>
    <xf numFmtId="10" fontId="69" fillId="0" borderId="2" xfId="322" applyNumberFormat="1" applyFont="1" applyBorder="1" applyAlignment="1">
      <alignment horizontal="center" vertical="top" wrapText="1"/>
    </xf>
    <xf numFmtId="0" fontId="69" fillId="0" borderId="1" xfId="321" applyFont="1" applyBorder="1" applyAlignment="1">
      <alignment horizontal="center" vertical="top" wrapText="1"/>
    </xf>
    <xf numFmtId="0" fontId="2" fillId="0" borderId="0" xfId="321" applyFont="1" applyAlignment="1">
      <alignment horizontal="center" vertical="center"/>
    </xf>
    <xf numFmtId="0" fontId="70" fillId="5" borderId="0" xfId="3" applyFont="1" applyFill="1" applyAlignment="1">
      <alignment horizontal="left"/>
    </xf>
    <xf numFmtId="9" fontId="70" fillId="5" borderId="0" xfId="3" applyNumberFormat="1" applyFont="1" applyFill="1" applyAlignment="1"/>
    <xf numFmtId="0" fontId="71" fillId="0" borderId="0" xfId="0" applyFont="1"/>
    <xf numFmtId="0" fontId="71" fillId="5" borderId="0" xfId="0" applyFont="1" applyFill="1"/>
    <xf numFmtId="0" fontId="71" fillId="5" borderId="0" xfId="0" applyFont="1" applyFill="1" applyAlignment="1">
      <alignment wrapText="1"/>
    </xf>
    <xf numFmtId="1" fontId="71" fillId="5" borderId="0" xfId="0" applyNumberFormat="1" applyFont="1" applyFill="1"/>
    <xf numFmtId="0" fontId="72" fillId="3" borderId="1" xfId="0" applyFont="1" applyFill="1" applyBorder="1" applyAlignment="1"/>
    <xf numFmtId="0" fontId="71" fillId="3" borderId="1" xfId="0" applyFont="1" applyFill="1" applyBorder="1" applyAlignment="1"/>
    <xf numFmtId="9" fontId="71" fillId="4" borderId="0" xfId="0" applyNumberFormat="1" applyFont="1" applyFill="1" applyBorder="1" applyAlignment="1">
      <alignment horizontal="left"/>
    </xf>
    <xf numFmtId="9" fontId="71" fillId="4" borderId="0" xfId="0" applyNumberFormat="1" applyFont="1" applyFill="1" applyBorder="1" applyAlignment="1"/>
    <xf numFmtId="0" fontId="71" fillId="3" borderId="5" xfId="0" applyFont="1" applyFill="1" applyBorder="1" applyAlignment="1">
      <alignment vertical="top" wrapText="1"/>
    </xf>
    <xf numFmtId="9" fontId="71" fillId="0" borderId="0" xfId="0" applyNumberFormat="1" applyFont="1"/>
    <xf numFmtId="0" fontId="73" fillId="38" borderId="16" xfId="3" applyFont="1" applyFill="1" applyBorder="1" applyAlignment="1">
      <alignment horizontal="center" wrapText="1"/>
    </xf>
    <xf numFmtId="0" fontId="73" fillId="38" borderId="17" xfId="3" applyFont="1" applyFill="1" applyBorder="1" applyAlignment="1">
      <alignment horizontal="center" wrapText="1"/>
    </xf>
    <xf numFmtId="0" fontId="73" fillId="38" borderId="18" xfId="3" applyFont="1" applyFill="1" applyBorder="1" applyAlignment="1">
      <alignment horizontal="center" wrapText="1"/>
    </xf>
    <xf numFmtId="0" fontId="71" fillId="3" borderId="4" xfId="0" applyFont="1" applyFill="1" applyBorder="1" applyAlignment="1">
      <alignment horizontal="right" vertical="top" wrapText="1"/>
    </xf>
    <xf numFmtId="0" fontId="71" fillId="3" borderId="1" xfId="0" applyFont="1" applyFill="1" applyBorder="1" applyAlignment="1">
      <alignment horizontal="right" vertical="top" wrapText="1"/>
    </xf>
    <xf numFmtId="164" fontId="71" fillId="0" borderId="0" xfId="2" applyNumberFormat="1" applyFont="1"/>
    <xf numFmtId="165" fontId="71" fillId="2" borderId="4" xfId="2" applyNumberFormat="1" applyFont="1" applyFill="1" applyBorder="1" applyAlignment="1">
      <alignment horizontal="right"/>
    </xf>
    <xf numFmtId="165" fontId="71" fillId="2" borderId="1" xfId="2" applyNumberFormat="1" applyFont="1" applyFill="1" applyBorder="1" applyAlignment="1">
      <alignment horizontal="right"/>
    </xf>
    <xf numFmtId="0" fontId="74" fillId="2" borderId="1" xfId="0" applyFont="1" applyFill="1" applyBorder="1" applyAlignment="1">
      <alignment horizontal="right"/>
    </xf>
    <xf numFmtId="0" fontId="71" fillId="3" borderId="1" xfId="0" applyFont="1" applyFill="1" applyBorder="1" applyAlignment="1">
      <alignment horizontal="center"/>
    </xf>
    <xf numFmtId="169" fontId="71" fillId="4" borderId="1" xfId="1" applyNumberFormat="1" applyFont="1" applyFill="1" applyBorder="1" applyAlignment="1">
      <alignment horizontal="right"/>
    </xf>
    <xf numFmtId="165" fontId="71" fillId="4" borderId="1" xfId="2" applyNumberFormat="1" applyFont="1" applyFill="1" applyBorder="1" applyAlignment="1">
      <alignment horizontal="right"/>
    </xf>
    <xf numFmtId="0" fontId="70" fillId="0" borderId="0" xfId="321" applyFont="1"/>
    <xf numFmtId="0" fontId="70" fillId="0" borderId="0" xfId="321" applyFont="1" applyAlignment="1">
      <alignment wrapText="1"/>
    </xf>
    <xf numFmtId="0" fontId="70" fillId="0" borderId="1" xfId="321" applyFont="1" applyBorder="1" applyAlignment="1">
      <alignment vertical="top" wrapText="1"/>
    </xf>
    <xf numFmtId="10" fontId="71" fillId="0" borderId="1" xfId="322" applyNumberFormat="1" applyFont="1" applyBorder="1"/>
    <xf numFmtId="0" fontId="75" fillId="2" borderId="19" xfId="0" applyFont="1" applyFill="1" applyBorder="1" applyAlignment="1">
      <alignment horizontal="right"/>
    </xf>
    <xf numFmtId="0" fontId="75" fillId="2" borderId="20" xfId="0" applyFont="1" applyFill="1" applyBorder="1" applyAlignment="1">
      <alignment horizontal="right"/>
    </xf>
    <xf numFmtId="0" fontId="75" fillId="2" borderId="1" xfId="0" applyFont="1" applyFill="1" applyBorder="1" applyAlignment="1">
      <alignment horizontal="right"/>
    </xf>
    <xf numFmtId="0" fontId="77" fillId="0" borderId="1" xfId="0" applyFont="1" applyBorder="1"/>
    <xf numFmtId="10" fontId="77" fillId="0" borderId="1" xfId="2" applyNumberFormat="1" applyFont="1" applyBorder="1"/>
    <xf numFmtId="0" fontId="76" fillId="66" borderId="1" xfId="0" applyFont="1" applyFill="1" applyBorder="1"/>
    <xf numFmtId="0" fontId="77" fillId="65" borderId="1" xfId="0" applyFont="1" applyFill="1" applyBorder="1" applyAlignment="1">
      <alignment horizontal="center" vertical="center"/>
    </xf>
    <xf numFmtId="0" fontId="77" fillId="0" borderId="1" xfId="0" applyNumberFormat="1" applyFont="1" applyBorder="1"/>
    <xf numFmtId="0" fontId="77" fillId="0" borderId="0" xfId="0" applyFont="1"/>
    <xf numFmtId="0" fontId="78" fillId="0" borderId="0" xfId="321" applyFont="1" applyAlignment="1">
      <alignment horizontal="center" vertical="center"/>
    </xf>
    <xf numFmtId="0" fontId="78" fillId="0" borderId="0" xfId="321" applyFont="1" applyAlignment="1">
      <alignment horizontal="left" vertical="center"/>
    </xf>
    <xf numFmtId="0" fontId="2" fillId="0" borderId="0" xfId="321" applyFont="1" applyAlignment="1">
      <alignment horizontal="left" vertical="center"/>
    </xf>
    <xf numFmtId="0" fontId="1" fillId="0" borderId="0" xfId="321" applyFont="1"/>
    <xf numFmtId="167" fontId="2" fillId="0" borderId="34" xfId="321" applyNumberFormat="1" applyFont="1" applyBorder="1" applyAlignment="1">
      <alignment horizontal="center" vertical="center" wrapText="1"/>
    </xf>
    <xf numFmtId="167" fontId="2" fillId="0" borderId="34" xfId="321" applyNumberFormat="1" applyFont="1" applyBorder="1" applyAlignment="1">
      <alignment horizontal="center" vertical="center"/>
    </xf>
    <xf numFmtId="2" fontId="2" fillId="0" borderId="34" xfId="321" applyNumberFormat="1" applyFont="1" applyBorder="1" applyAlignment="1">
      <alignment horizontal="center" vertical="center" wrapText="1"/>
    </xf>
    <xf numFmtId="204" fontId="2" fillId="0" borderId="34" xfId="321" applyNumberFormat="1" applyFont="1" applyBorder="1" applyAlignment="1">
      <alignment horizontal="center" vertical="center" wrapText="1"/>
    </xf>
    <xf numFmtId="164" fontId="2" fillId="0" borderId="34" xfId="322" applyNumberFormat="1" applyFont="1" applyBorder="1" applyAlignment="1">
      <alignment horizontal="center" vertical="center" wrapText="1"/>
    </xf>
    <xf numFmtId="0" fontId="2" fillId="65" borderId="34" xfId="321" applyFill="1" applyBorder="1" applyAlignment="1">
      <alignment horizontal="center" vertical="center" wrapText="1"/>
    </xf>
    <xf numFmtId="0" fontId="2" fillId="67" borderId="34" xfId="321" applyFont="1" applyFill="1" applyBorder="1" applyAlignment="1">
      <alignment horizontal="center" vertical="center"/>
    </xf>
    <xf numFmtId="0" fontId="2" fillId="65" borderId="34" xfId="321" applyFont="1" applyFill="1" applyBorder="1" applyAlignment="1">
      <alignment horizontal="center" vertical="center" wrapText="1"/>
    </xf>
    <xf numFmtId="167" fontId="79" fillId="0" borderId="34" xfId="321" applyNumberFormat="1" applyFont="1" applyBorder="1" applyAlignment="1">
      <alignment horizontal="center" vertical="center" wrapText="1"/>
    </xf>
    <xf numFmtId="167" fontId="79" fillId="0" borderId="34" xfId="321" applyNumberFormat="1" applyFont="1" applyBorder="1" applyAlignment="1">
      <alignment horizontal="center" vertical="center"/>
    </xf>
    <xf numFmtId="2" fontId="79" fillId="0" borderId="34" xfId="321" applyNumberFormat="1" applyFont="1" applyBorder="1" applyAlignment="1">
      <alignment horizontal="center" vertical="center" wrapText="1"/>
    </xf>
    <xf numFmtId="204" fontId="79" fillId="0" borderId="34" xfId="321" applyNumberFormat="1" applyFont="1" applyBorder="1" applyAlignment="1">
      <alignment horizontal="center" vertical="center" wrapText="1"/>
    </xf>
    <xf numFmtId="164" fontId="79" fillId="0" borderId="34" xfId="322" applyNumberFormat="1" applyFont="1" applyBorder="1" applyAlignment="1">
      <alignment horizontal="center" vertical="center" wrapText="1"/>
    </xf>
    <xf numFmtId="167" fontId="79" fillId="69" borderId="34" xfId="321" applyNumberFormat="1" applyFont="1" applyFill="1" applyBorder="1" applyAlignment="1">
      <alignment horizontal="center" vertical="center" wrapText="1"/>
    </xf>
    <xf numFmtId="167" fontId="79" fillId="69" borderId="34" xfId="321" applyNumberFormat="1" applyFont="1" applyFill="1" applyBorder="1" applyAlignment="1">
      <alignment horizontal="center" vertical="center"/>
    </xf>
    <xf numFmtId="2" fontId="79" fillId="69" borderId="34" xfId="321" applyNumberFormat="1" applyFont="1" applyFill="1" applyBorder="1" applyAlignment="1">
      <alignment horizontal="center" vertical="center" wrapText="1"/>
    </xf>
    <xf numFmtId="204" fontId="79" fillId="69" borderId="34" xfId="321" applyNumberFormat="1" applyFont="1" applyFill="1" applyBorder="1" applyAlignment="1">
      <alignment horizontal="center" vertical="center" wrapText="1"/>
    </xf>
    <xf numFmtId="164" fontId="79" fillId="69" borderId="34" xfId="322" applyNumberFormat="1" applyFont="1" applyFill="1" applyBorder="1" applyAlignment="1">
      <alignment horizontal="center" vertical="center" wrapText="1"/>
    </xf>
    <xf numFmtId="0" fontId="77" fillId="0" borderId="34" xfId="0" applyFont="1" applyBorder="1"/>
    <xf numFmtId="0" fontId="77" fillId="65" borderId="34" xfId="0" applyFont="1" applyFill="1" applyBorder="1" applyAlignment="1">
      <alignment horizontal="center" vertical="center"/>
    </xf>
    <xf numFmtId="0" fontId="71" fillId="3" borderId="1" xfId="0" applyFont="1" applyFill="1" applyBorder="1" applyAlignment="1">
      <alignment vertical="center"/>
    </xf>
    <xf numFmtId="9" fontId="71" fillId="4" borderId="0" xfId="0" applyNumberFormat="1" applyFont="1" applyFill="1" applyBorder="1" applyAlignment="1">
      <alignment horizontal="left" vertical="center"/>
    </xf>
    <xf numFmtId="9" fontId="71" fillId="4" borderId="0" xfId="0" applyNumberFormat="1" applyFont="1" applyFill="1" applyBorder="1" applyAlignment="1">
      <alignment vertical="center"/>
    </xf>
    <xf numFmtId="0" fontId="71" fillId="3" borderId="5" xfId="0" applyFont="1" applyFill="1" applyBorder="1" applyAlignment="1">
      <alignment vertical="center" wrapText="1"/>
    </xf>
    <xf numFmtId="0" fontId="70" fillId="5" borderId="0" xfId="3" applyFont="1" applyFill="1" applyAlignment="1">
      <alignment horizontal="center" vertical="center"/>
    </xf>
    <xf numFmtId="9" fontId="70" fillId="5" borderId="0" xfId="3" applyNumberFormat="1" applyFont="1" applyFill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68" borderId="34" xfId="3" applyFont="1" applyFill="1" applyBorder="1" applyAlignment="1">
      <alignment horizontal="center" vertical="center" wrapText="1"/>
    </xf>
    <xf numFmtId="0" fontId="73" fillId="65" borderId="34" xfId="0" applyFont="1" applyFill="1" applyBorder="1" applyAlignment="1">
      <alignment horizontal="center" vertical="center" wrapText="1"/>
    </xf>
    <xf numFmtId="0" fontId="70" fillId="65" borderId="34" xfId="3" applyFont="1" applyFill="1" applyBorder="1" applyAlignment="1">
      <alignment horizontal="center" vertical="center" wrapText="1"/>
    </xf>
    <xf numFmtId="0" fontId="70" fillId="0" borderId="34" xfId="3" applyFont="1" applyBorder="1" applyAlignment="1">
      <alignment horizontal="center" vertical="center"/>
    </xf>
    <xf numFmtId="166" fontId="70" fillId="0" borderId="34" xfId="3" applyNumberFormat="1" applyFont="1" applyBorder="1" applyAlignment="1">
      <alignment horizontal="center" vertical="center"/>
    </xf>
    <xf numFmtId="0" fontId="70" fillId="0" borderId="34" xfId="3" applyNumberFormat="1" applyFont="1" applyBorder="1" applyAlignment="1">
      <alignment horizontal="center" vertical="center"/>
    </xf>
    <xf numFmtId="10" fontId="71" fillId="0" borderId="34" xfId="4" applyNumberFormat="1" applyFont="1" applyBorder="1" applyAlignment="1">
      <alignment horizontal="center" vertical="center"/>
    </xf>
    <xf numFmtId="170" fontId="71" fillId="0" borderId="34" xfId="5" applyNumberFormat="1" applyFont="1" applyBorder="1" applyAlignment="1">
      <alignment horizontal="center" vertical="center"/>
    </xf>
    <xf numFmtId="171" fontId="71" fillId="0" borderId="34" xfId="5" applyNumberFormat="1" applyFont="1" applyBorder="1" applyAlignment="1">
      <alignment horizontal="center" vertical="center"/>
    </xf>
    <xf numFmtId="170" fontId="71" fillId="5" borderId="34" xfId="5" applyNumberFormat="1" applyFont="1" applyFill="1" applyBorder="1" applyAlignment="1">
      <alignment horizontal="center" vertical="center"/>
    </xf>
    <xf numFmtId="0" fontId="69" fillId="0" borderId="34" xfId="0" applyFont="1" applyBorder="1" applyAlignment="1">
      <alignment vertical="center" wrapText="1"/>
    </xf>
    <xf numFmtId="9" fontId="69" fillId="0" borderId="34" xfId="0" applyNumberFormat="1" applyFont="1" applyBorder="1" applyAlignment="1">
      <alignment horizontal="right" vertical="center"/>
    </xf>
    <xf numFmtId="203" fontId="71" fillId="0" borderId="34" xfId="5" applyNumberFormat="1" applyFont="1" applyBorder="1"/>
    <xf numFmtId="168" fontId="71" fillId="0" borderId="34" xfId="5" applyNumberFormat="1" applyFont="1" applyBorder="1"/>
    <xf numFmtId="168" fontId="69" fillId="0" borderId="34" xfId="1" applyNumberFormat="1" applyFont="1" applyBorder="1" applyAlignment="1">
      <alignment horizontal="right" vertical="center"/>
    </xf>
    <xf numFmtId="203" fontId="71" fillId="5" borderId="34" xfId="5" applyNumberFormat="1" applyFont="1" applyFill="1" applyBorder="1"/>
    <xf numFmtId="0" fontId="70" fillId="0" borderId="34" xfId="3" applyFont="1" applyBorder="1" applyAlignment="1">
      <alignment horizontal="center" vertical="center" wrapText="1"/>
    </xf>
    <xf numFmtId="0" fontId="80" fillId="0" borderId="1" xfId="3" applyFont="1" applyBorder="1" applyAlignment="1">
      <alignment horizontal="center" vertical="center" wrapText="1"/>
    </xf>
    <xf numFmtId="0" fontId="70" fillId="0" borderId="1" xfId="3" applyFont="1" applyBorder="1" applyAlignment="1">
      <alignment horizontal="center" vertical="center"/>
    </xf>
    <xf numFmtId="169" fontId="70" fillId="0" borderId="1" xfId="1" applyNumberFormat="1" applyFont="1" applyBorder="1" applyAlignment="1">
      <alignment horizontal="center" vertical="center"/>
    </xf>
    <xf numFmtId="10" fontId="69" fillId="0" borderId="2" xfId="322" applyNumberFormat="1" applyFont="1" applyBorder="1" applyAlignment="1">
      <alignment horizontal="center" vertical="center" wrapText="1"/>
    </xf>
    <xf numFmtId="205" fontId="70" fillId="0" borderId="1" xfId="3" applyNumberFormat="1" applyFont="1" applyBorder="1" applyAlignment="1">
      <alignment horizontal="center" vertical="center"/>
    </xf>
    <xf numFmtId="0" fontId="69" fillId="0" borderId="1" xfId="321" applyFont="1" applyBorder="1" applyAlignment="1">
      <alignment horizontal="center" vertical="center" wrapText="1"/>
    </xf>
    <xf numFmtId="9" fontId="70" fillId="0" borderId="0" xfId="3" applyNumberFormat="1" applyFont="1" applyAlignment="1">
      <alignment horizontal="center" vertical="center"/>
    </xf>
    <xf numFmtId="172" fontId="70" fillId="0" borderId="0" xfId="3" applyNumberFormat="1" applyFont="1" applyAlignment="1">
      <alignment horizontal="center" vertical="center"/>
    </xf>
    <xf numFmtId="172" fontId="71" fillId="0" borderId="0" xfId="5" applyNumberFormat="1" applyFont="1" applyAlignment="1">
      <alignment horizontal="center" vertical="center"/>
    </xf>
    <xf numFmtId="173" fontId="70" fillId="0" borderId="0" xfId="3" applyNumberFormat="1" applyFont="1" applyAlignment="1">
      <alignment horizontal="center" vertical="center"/>
    </xf>
    <xf numFmtId="203" fontId="71" fillId="0" borderId="34" xfId="5" applyNumberFormat="1" applyFont="1" applyBorder="1" applyAlignment="1">
      <alignment vertical="center"/>
    </xf>
    <xf numFmtId="168" fontId="71" fillId="0" borderId="34" xfId="5" applyNumberFormat="1" applyFont="1" applyBorder="1" applyAlignment="1">
      <alignment vertical="center"/>
    </xf>
    <xf numFmtId="203" fontId="71" fillId="5" borderId="34" xfId="5" applyNumberFormat="1" applyFont="1" applyFill="1" applyBorder="1" applyAlignment="1">
      <alignment vertical="center"/>
    </xf>
    <xf numFmtId="0" fontId="80" fillId="65" borderId="1" xfId="3" applyFont="1" applyFill="1" applyBorder="1" applyAlignment="1">
      <alignment horizontal="center" vertical="center" wrapText="1"/>
    </xf>
    <xf numFmtId="166" fontId="79" fillId="69" borderId="34" xfId="321" applyNumberFormat="1" applyFont="1" applyFill="1" applyBorder="1" applyAlignment="1">
      <alignment horizontal="center" vertical="center" wrapText="1"/>
    </xf>
    <xf numFmtId="166" fontId="79" fillId="69" borderId="34" xfId="321" applyNumberFormat="1" applyFont="1" applyFill="1" applyBorder="1" applyAlignment="1">
      <alignment horizontal="center" vertical="center"/>
    </xf>
    <xf numFmtId="206" fontId="79" fillId="69" borderId="34" xfId="321" applyNumberFormat="1" applyFont="1" applyFill="1" applyBorder="1" applyAlignment="1">
      <alignment horizontal="center" vertical="center" wrapText="1"/>
    </xf>
    <xf numFmtId="0" fontId="70" fillId="0" borderId="0" xfId="0" applyFont="1"/>
    <xf numFmtId="0" fontId="70" fillId="5" borderId="0" xfId="0" applyFont="1" applyFill="1"/>
    <xf numFmtId="0" fontId="70" fillId="68" borderId="37" xfId="0" applyFont="1" applyFill="1" applyBorder="1" applyAlignment="1">
      <alignment horizontal="center" vertical="center"/>
    </xf>
    <xf numFmtId="0" fontId="70" fillId="68" borderId="37" xfId="0" applyFont="1" applyFill="1" applyBorder="1" applyAlignment="1">
      <alignment horizontal="center" vertical="center" wrapText="1"/>
    </xf>
    <xf numFmtId="10" fontId="70" fillId="0" borderId="37" xfId="263" applyNumberFormat="1" applyFont="1" applyBorder="1"/>
    <xf numFmtId="169" fontId="70" fillId="0" borderId="37" xfId="5" applyNumberFormat="1" applyFont="1" applyFill="1" applyBorder="1"/>
    <xf numFmtId="10" fontId="70" fillId="71" borderId="37" xfId="263" applyNumberFormat="1" applyFont="1" applyFill="1" applyBorder="1"/>
    <xf numFmtId="0" fontId="77" fillId="0" borderId="35" xfId="0" applyFont="1" applyBorder="1"/>
    <xf numFmtId="10" fontId="77" fillId="0" borderId="32" xfId="2" applyNumberFormat="1" applyFont="1" applyBorder="1"/>
    <xf numFmtId="0" fontId="70" fillId="0" borderId="1" xfId="0" applyFont="1" applyBorder="1" applyAlignment="1">
      <alignment horizontal="center" vertical="center" wrapText="1"/>
    </xf>
    <xf numFmtId="164" fontId="69" fillId="0" borderId="1" xfId="2" applyNumberFormat="1" applyFont="1" applyBorder="1" applyAlignment="1">
      <alignment horizontal="center" vertical="center" wrapText="1"/>
    </xf>
    <xf numFmtId="10" fontId="70" fillId="0" borderId="1" xfId="0" applyNumberFormat="1" applyFont="1" applyBorder="1" applyAlignment="1">
      <alignment horizontal="center" vertical="center" wrapText="1"/>
    </xf>
    <xf numFmtId="0" fontId="71" fillId="0" borderId="1" xfId="0" applyFont="1" applyBorder="1" applyAlignment="1">
      <alignment horizontal="center"/>
    </xf>
    <xf numFmtId="0" fontId="71" fillId="5" borderId="1" xfId="0" applyFont="1" applyFill="1" applyBorder="1" applyAlignment="1">
      <alignment horizontal="center"/>
    </xf>
    <xf numFmtId="0" fontId="71" fillId="0" borderId="1" xfId="0" applyFont="1" applyBorder="1" applyAlignment="1">
      <alignment horizontal="center" vertical="center" wrapText="1"/>
    </xf>
    <xf numFmtId="0" fontId="71" fillId="73" borderId="1" xfId="0" applyFont="1" applyFill="1" applyBorder="1" applyAlignment="1">
      <alignment horizontal="center"/>
    </xf>
    <xf numFmtId="0" fontId="71" fillId="0" borderId="1" xfId="0" applyFont="1" applyBorder="1" applyAlignment="1">
      <alignment horizontal="center" vertical="center"/>
    </xf>
    <xf numFmtId="10" fontId="71" fillId="0" borderId="1" xfId="2" applyNumberFormat="1" applyFont="1" applyBorder="1" applyAlignment="1">
      <alignment horizontal="center"/>
    </xf>
    <xf numFmtId="0" fontId="71" fillId="72" borderId="1" xfId="0" applyFont="1" applyFill="1" applyBorder="1" applyAlignment="1">
      <alignment horizontal="center" vertical="center"/>
    </xf>
    <xf numFmtId="0" fontId="75" fillId="0" borderId="0" xfId="0" applyFont="1" applyBorder="1" applyAlignment="1">
      <alignment horizontal="center" vertical="center"/>
    </xf>
    <xf numFmtId="0" fontId="75" fillId="0" borderId="0" xfId="0" applyFont="1" applyBorder="1" applyAlignment="1">
      <alignment horizontal="center"/>
    </xf>
    <xf numFmtId="0" fontId="75" fillId="0" borderId="0" xfId="0" applyFont="1" applyBorder="1"/>
    <xf numFmtId="0" fontId="75" fillId="0" borderId="0" xfId="0" applyFont="1" applyBorder="1" applyAlignment="1">
      <alignment horizontal="center" vertical="center" wrapText="1"/>
    </xf>
    <xf numFmtId="164" fontId="75" fillId="0" borderId="0" xfId="2" applyNumberFormat="1" applyFont="1" applyBorder="1" applyAlignment="1">
      <alignment horizontal="center" vertical="center" wrapText="1"/>
    </xf>
    <xf numFmtId="0" fontId="82" fillId="0" borderId="0" xfId="0" applyFont="1"/>
    <xf numFmtId="0" fontId="2" fillId="70" borderId="32" xfId="321" applyFont="1" applyFill="1" applyBorder="1" applyAlignment="1">
      <alignment horizontal="center" vertical="center"/>
    </xf>
    <xf numFmtId="0" fontId="2" fillId="67" borderId="34" xfId="321" applyFont="1" applyFill="1" applyBorder="1" applyAlignment="1">
      <alignment horizontal="center" vertical="center"/>
    </xf>
    <xf numFmtId="0" fontId="2" fillId="70" borderId="32" xfId="321" applyFill="1" applyBorder="1" applyAlignment="1">
      <alignment horizontal="center" vertical="center"/>
    </xf>
    <xf numFmtId="0" fontId="2" fillId="66" borderId="34" xfId="321" applyFill="1" applyBorder="1" applyAlignment="1">
      <alignment horizontal="center" vertical="center"/>
    </xf>
    <xf numFmtId="0" fontId="2" fillId="66" borderId="34" xfId="321" applyFont="1" applyFill="1" applyBorder="1" applyAlignment="1">
      <alignment horizontal="center" vertical="center"/>
    </xf>
    <xf numFmtId="0" fontId="2" fillId="65" borderId="34" xfId="321" applyFill="1" applyBorder="1" applyAlignment="1">
      <alignment horizontal="center" vertical="center"/>
    </xf>
    <xf numFmtId="0" fontId="70" fillId="0" borderId="1" xfId="321" applyFont="1" applyBorder="1" applyAlignment="1">
      <alignment horizontal="center"/>
    </xf>
    <xf numFmtId="0" fontId="70" fillId="0" borderId="1" xfId="321" applyFont="1" applyBorder="1" applyAlignment="1">
      <alignment horizontal="center" vertical="center"/>
    </xf>
    <xf numFmtId="0" fontId="72" fillId="3" borderId="1" xfId="0" applyFont="1" applyFill="1" applyBorder="1" applyAlignment="1">
      <alignment horizontal="center" vertical="center" wrapText="1"/>
    </xf>
    <xf numFmtId="0" fontId="71" fillId="3" borderId="2" xfId="0" applyFont="1" applyFill="1" applyBorder="1" applyAlignment="1">
      <alignment horizontal="center" vertical="center" wrapText="1"/>
    </xf>
    <xf numFmtId="0" fontId="71" fillId="3" borderId="3" xfId="0" applyFont="1" applyFill="1" applyBorder="1" applyAlignment="1">
      <alignment horizontal="center" vertical="center" wrapText="1"/>
    </xf>
    <xf numFmtId="0" fontId="71" fillId="3" borderId="4" xfId="0" applyFont="1" applyFill="1" applyBorder="1" applyAlignment="1">
      <alignment horizontal="center" vertical="center" wrapText="1"/>
    </xf>
    <xf numFmtId="0" fontId="72" fillId="3" borderId="1" xfId="0" applyFont="1" applyFill="1" applyBorder="1" applyAlignment="1">
      <alignment horizontal="center" wrapText="1"/>
    </xf>
    <xf numFmtId="0" fontId="71" fillId="3" borderId="32" xfId="0" applyFont="1" applyFill="1" applyBorder="1" applyAlignment="1">
      <alignment horizontal="center" vertical="top" wrapText="1"/>
    </xf>
    <xf numFmtId="0" fontId="71" fillId="3" borderId="33" xfId="0" applyFont="1" applyFill="1" applyBorder="1" applyAlignment="1">
      <alignment horizontal="center" vertical="top" wrapText="1"/>
    </xf>
    <xf numFmtId="0" fontId="73" fillId="65" borderId="34" xfId="0" applyFont="1" applyFill="1" applyBorder="1" applyAlignment="1">
      <alignment horizontal="center" vertical="center" wrapText="1"/>
    </xf>
    <xf numFmtId="0" fontId="70" fillId="65" borderId="35" xfId="3" applyFont="1" applyFill="1" applyBorder="1" applyAlignment="1">
      <alignment horizontal="center" vertical="center"/>
    </xf>
    <xf numFmtId="0" fontId="70" fillId="65" borderId="36" xfId="3" applyFont="1" applyFill="1" applyBorder="1" applyAlignment="1">
      <alignment horizontal="center" vertical="center"/>
    </xf>
    <xf numFmtId="0" fontId="73" fillId="65" borderId="35" xfId="0" applyFont="1" applyFill="1" applyBorder="1" applyAlignment="1">
      <alignment horizontal="center" vertical="center" wrapText="1"/>
    </xf>
    <xf numFmtId="0" fontId="73" fillId="65" borderId="36" xfId="0" applyFont="1" applyFill="1" applyBorder="1" applyAlignment="1">
      <alignment horizontal="center" vertical="center" wrapText="1"/>
    </xf>
    <xf numFmtId="0" fontId="70" fillId="0" borderId="1" xfId="3" applyFont="1" applyBorder="1" applyAlignment="1">
      <alignment horizontal="center" vertical="center"/>
    </xf>
    <xf numFmtId="0" fontId="70" fillId="68" borderId="34" xfId="3" applyFont="1" applyFill="1" applyBorder="1" applyAlignment="1">
      <alignment horizontal="center" vertical="center"/>
    </xf>
    <xf numFmtId="0" fontId="70" fillId="65" borderId="34" xfId="3" applyFont="1" applyFill="1" applyBorder="1" applyAlignment="1">
      <alignment horizontal="center" vertical="center" wrapText="1"/>
    </xf>
    <xf numFmtId="0" fontId="71" fillId="0" borderId="2" xfId="0" applyFont="1" applyBorder="1" applyAlignment="1">
      <alignment horizontal="center"/>
    </xf>
    <xf numFmtId="0" fontId="71" fillId="0" borderId="3" xfId="0" applyFont="1" applyBorder="1" applyAlignment="1">
      <alignment horizontal="center"/>
    </xf>
    <xf numFmtId="0" fontId="71" fillId="0" borderId="4" xfId="0" applyFont="1" applyBorder="1" applyAlignment="1">
      <alignment horizontal="center"/>
    </xf>
    <xf numFmtId="0" fontId="71" fillId="0" borderId="1" xfId="0" applyFont="1" applyBorder="1" applyAlignment="1">
      <alignment horizontal="center"/>
    </xf>
    <xf numFmtId="169" fontId="71" fillId="0" borderId="0" xfId="1" applyNumberFormat="1" applyFont="1"/>
    <xf numFmtId="169" fontId="71" fillId="0" borderId="0" xfId="0" applyNumberFormat="1" applyFont="1"/>
  </cellXfs>
  <cellStyles count="323">
    <cellStyle name="_2001_2005 Plan" xfId="9"/>
    <cellStyle name="_2008 SOC Projection" xfId="10"/>
    <cellStyle name="_Budget2002-Valur Centres" xfId="11"/>
    <cellStyle name="_Cap plan SME 2008" xfId="12"/>
    <cellStyle name="_COL_CAP_2008_SME_08Aug_07-23" xfId="13"/>
    <cellStyle name="_FYF12_BE_3 Jan_2005 MESA updated" xfId="14"/>
    <cellStyle name="_FYF12_Flash_10 Jan_2005" xfId="15"/>
    <cellStyle name="_iissp final" xfId="16"/>
    <cellStyle name="_iisspjan06" xfId="17"/>
    <cellStyle name="_ISBudget2005_MESA_Oct4" xfId="18"/>
    <cellStyle name="_MAR06 Provision" xfId="19"/>
    <cellStyle name="_MIRM 2005 Cost Budget" xfId="20"/>
    <cellStyle name="_MIRM 2005 Cost Budget_Regional Office Budget 2005" xfId="21"/>
    <cellStyle name="_MIRM 2005 Cost Budget_Regional Office Budget_Other's" xfId="22"/>
    <cellStyle name="_Overhead for Budget 2011" xfId="23"/>
    <cellStyle name="_Pipeline_NBD by product" xfId="24"/>
    <cellStyle name="_PSP - Sep2005 - Country Communication - v2" xfId="25"/>
    <cellStyle name="_Regional Front Office Budget 2005 v1 Costs" xfId="26"/>
    <cellStyle name="_Regional Front Office Budget 2005 v1 Costs_Regional Office Budget 2005" xfId="27"/>
    <cellStyle name="_Regional Front Office Budget 2005 v1 Costs_Regional Office Budget_Other's" xfId="28"/>
    <cellStyle name="_Regional Office Budget_Other's" xfId="29"/>
    <cellStyle name="_Summary_Prod_Cust_Cntry-2002-v2" xfId="30"/>
    <cellStyle name="_TP_UK GAAP_24 mar'05" xfId="31"/>
    <cellStyle name="_WM Provision Apr06" xfId="32"/>
    <cellStyle name="_WM Provision Jun06" xfId="33"/>
    <cellStyle name="_WM Provision May06" xfId="34"/>
    <cellStyle name="’Ê‰Ý [0.00]_guyan" xfId="35"/>
    <cellStyle name="’Ê‰Ý_guyan" xfId="36"/>
    <cellStyle name="=C:\WINNT\SYSTEM32\COMMAND.COM" xfId="37"/>
    <cellStyle name="¶W³sµ²" xfId="38"/>
    <cellStyle name="•W?_Fem.Pro" xfId="39"/>
    <cellStyle name="¹éºÐÀ²_±âÅ¸" xfId="40"/>
    <cellStyle name="20% - Accent1 2" xfId="41"/>
    <cellStyle name="20% - Accent1 2 2" xfId="42"/>
    <cellStyle name="20% - Accent1 2 3" xfId="43"/>
    <cellStyle name="20% - Accent2 2" xfId="44"/>
    <cellStyle name="20% - Accent2 2 2" xfId="45"/>
    <cellStyle name="20% - Accent2 2 3" xfId="46"/>
    <cellStyle name="20% - Accent3 2" xfId="47"/>
    <cellStyle name="20% - Accent3 2 2" xfId="48"/>
    <cellStyle name="20% - Accent3 2 3" xfId="49"/>
    <cellStyle name="20% - Accent4 2" xfId="50"/>
    <cellStyle name="20% - Accent4 2 2" xfId="51"/>
    <cellStyle name="20% - Accent4 2 3" xfId="52"/>
    <cellStyle name="20% - Accent5 2" xfId="53"/>
    <cellStyle name="20% - Accent5 2 2" xfId="54"/>
    <cellStyle name="20% - Accent5 2 3" xfId="55"/>
    <cellStyle name="20% - Accent6 2" xfId="56"/>
    <cellStyle name="20% - Accent6 2 2" xfId="57"/>
    <cellStyle name="20% - Accent6 2 3" xfId="58"/>
    <cellStyle name="40% - Accent1 2" xfId="59"/>
    <cellStyle name="40% - Accent1 2 2" xfId="60"/>
    <cellStyle name="40% - Accent1 2 3" xfId="61"/>
    <cellStyle name="40% - Accent2 2" xfId="62"/>
    <cellStyle name="40% - Accent2 2 2" xfId="63"/>
    <cellStyle name="40% - Accent2 2 3" xfId="64"/>
    <cellStyle name="40% - Accent3 2" xfId="65"/>
    <cellStyle name="40% - Accent3 2 2" xfId="66"/>
    <cellStyle name="40% - Accent3 2 3" xfId="67"/>
    <cellStyle name="40% - Accent4 2" xfId="68"/>
    <cellStyle name="40% - Accent4 2 2" xfId="69"/>
    <cellStyle name="40% - Accent4 2 3" xfId="70"/>
    <cellStyle name="40% - Accent5 2" xfId="71"/>
    <cellStyle name="40% - Accent5 2 2" xfId="72"/>
    <cellStyle name="40% - Accent5 2 3" xfId="73"/>
    <cellStyle name="40% - Accent6 2" xfId="74"/>
    <cellStyle name="40% - Accent6 2 2" xfId="75"/>
    <cellStyle name="40% - Accent6 2 3" xfId="76"/>
    <cellStyle name="60% - Accent1 2" xfId="77"/>
    <cellStyle name="60% - Accent1 2 2" xfId="78"/>
    <cellStyle name="60% - Accent2 2" xfId="79"/>
    <cellStyle name="60% - Accent2 2 2" xfId="80"/>
    <cellStyle name="60% - Accent3 2" xfId="81"/>
    <cellStyle name="60% - Accent3 2 2" xfId="82"/>
    <cellStyle name="60% - Accent4 2" xfId="83"/>
    <cellStyle name="60% - Accent4 2 2" xfId="84"/>
    <cellStyle name="60% - Accent5 2" xfId="85"/>
    <cellStyle name="60% - Accent5 2 2" xfId="86"/>
    <cellStyle name="60% - Accent6 2" xfId="87"/>
    <cellStyle name="60% - Accent6 2 2" xfId="88"/>
    <cellStyle name="Accent1 2" xfId="89"/>
    <cellStyle name="Accent1 2 2" xfId="90"/>
    <cellStyle name="Accent2 2" xfId="91"/>
    <cellStyle name="Accent2 2 2" xfId="92"/>
    <cellStyle name="Accent3 2" xfId="93"/>
    <cellStyle name="Accent3 2 2" xfId="94"/>
    <cellStyle name="Accent4 2" xfId="95"/>
    <cellStyle name="Accent4 2 2" xfId="96"/>
    <cellStyle name="Accent5 2" xfId="97"/>
    <cellStyle name="Accent5 2 2" xfId="98"/>
    <cellStyle name="Accent6 2" xfId="99"/>
    <cellStyle name="Accent6 2 2" xfId="100"/>
    <cellStyle name="ÅëÈ­ [0]_¿µ¹®Á¶Á÷µµ" xfId="101"/>
    <cellStyle name="ÅëÈ­_¿µ¹®Á¶Á÷µµ" xfId="102"/>
    <cellStyle name="ÀH«áªº¶W³sµ²" xfId="103"/>
    <cellStyle name="args.style" xfId="104"/>
    <cellStyle name="ÄÞ¸¶ [0]_±âÅ¸" xfId="105"/>
    <cellStyle name="ÄÞ¸¶_±âÅ¸" xfId="106"/>
    <cellStyle name="AutoFormat Options" xfId="107"/>
    <cellStyle name="Bad 2" xfId="108"/>
    <cellStyle name="Bad 2 2" xfId="109"/>
    <cellStyle name="Black" xfId="110"/>
    <cellStyle name="Body" xfId="111"/>
    <cellStyle name="Border" xfId="112"/>
    <cellStyle name="Ç¥ÁØ_¿ù°£¿ä¾àº¸°í" xfId="113"/>
    <cellStyle name="Calc Currency (0)" xfId="114"/>
    <cellStyle name="Calc Currency (2)" xfId="115"/>
    <cellStyle name="Calc Percent (0)" xfId="116"/>
    <cellStyle name="Calc Percent (1)" xfId="117"/>
    <cellStyle name="Calc Percent (2)" xfId="118"/>
    <cellStyle name="Calc Units (0)" xfId="119"/>
    <cellStyle name="Calc Units (1)" xfId="120"/>
    <cellStyle name="Calc Units (2)" xfId="121"/>
    <cellStyle name="Calculation 2" xfId="122"/>
    <cellStyle name="Calculation 2 2" xfId="123"/>
    <cellStyle name="Calculation 2 3" xfId="124"/>
    <cellStyle name="Calculation 2 4" xfId="125"/>
    <cellStyle name="Calculation 2 5" xfId="126"/>
    <cellStyle name="Calculation 2 6" xfId="127"/>
    <cellStyle name="Calculation 2 7" xfId="128"/>
    <cellStyle name="Calculation 2 8" xfId="129"/>
    <cellStyle name="Check Cell 2" xfId="130"/>
    <cellStyle name="Check Cell 2 2" xfId="131"/>
    <cellStyle name="Comma" xfId="1" builtinId="3"/>
    <cellStyle name="Comma [00]" xfId="132"/>
    <cellStyle name="Comma 2" xfId="5"/>
    <cellStyle name="Comma 2 2" xfId="133"/>
    <cellStyle name="Comma 2 2 2" xfId="134"/>
    <cellStyle name="Comma 2 3" xfId="135"/>
    <cellStyle name="Comma 3" xfId="136"/>
    <cellStyle name="Comma 3 2" xfId="137"/>
    <cellStyle name="Comma 4" xfId="138"/>
    <cellStyle name="Comma 5" xfId="139"/>
    <cellStyle name="Comma 5 2" xfId="140"/>
    <cellStyle name="Comma 6" xfId="141"/>
    <cellStyle name="Comma0 - Style1" xfId="142"/>
    <cellStyle name="Copied" xfId="143"/>
    <cellStyle name="Curren - Style2" xfId="144"/>
    <cellStyle name="Currency [00]" xfId="145"/>
    <cellStyle name="Date" xfId="146"/>
    <cellStyle name="Date Short" xfId="147"/>
    <cellStyle name="date_Other SME" xfId="148"/>
    <cellStyle name="DELTA" xfId="149"/>
    <cellStyle name="Dezimal [0]_laroux" xfId="150"/>
    <cellStyle name="Dezimal_laroux" xfId="151"/>
    <cellStyle name="Enter Currency (0)" xfId="152"/>
    <cellStyle name="Enter Currency (2)" xfId="153"/>
    <cellStyle name="Enter Units (0)" xfId="154"/>
    <cellStyle name="Enter Units (1)" xfId="155"/>
    <cellStyle name="Enter Units (2)" xfId="156"/>
    <cellStyle name="Entered" xfId="157"/>
    <cellStyle name="Explanatory Text 2" xfId="158"/>
    <cellStyle name="Explanatory Text 2 2" xfId="159"/>
    <cellStyle name="Fixed" xfId="160"/>
    <cellStyle name="Good 2" xfId="161"/>
    <cellStyle name="Good 2 2" xfId="162"/>
    <cellStyle name="Grey" xfId="163"/>
    <cellStyle name="Header1" xfId="164"/>
    <cellStyle name="Header2" xfId="165"/>
    <cellStyle name="Heading 1 2" xfId="166"/>
    <cellStyle name="Heading 1 2 2" xfId="167"/>
    <cellStyle name="Heading 2 2" xfId="168"/>
    <cellStyle name="Heading 2 2 2" xfId="169"/>
    <cellStyle name="Heading 3 2" xfId="170"/>
    <cellStyle name="Heading 3 2 2" xfId="171"/>
    <cellStyle name="Heading 3 2 3" xfId="172"/>
    <cellStyle name="Heading 3 2 4" xfId="173"/>
    <cellStyle name="Heading 3 2 5" xfId="174"/>
    <cellStyle name="Heading 4 2" xfId="175"/>
    <cellStyle name="Heading 4 2 2" xfId="176"/>
    <cellStyle name="Heading1" xfId="177"/>
    <cellStyle name="Heading2" xfId="178"/>
    <cellStyle name="Hyperlink 2" xfId="179"/>
    <cellStyle name="Hyperlink 3" xfId="180"/>
    <cellStyle name="Hyperlink 4" xfId="181"/>
    <cellStyle name="Hyperlink 5" xfId="182"/>
    <cellStyle name="Indented" xfId="183"/>
    <cellStyle name="Input [yellow]" xfId="184"/>
    <cellStyle name="Input 2" xfId="185"/>
    <cellStyle name="Input 2 2" xfId="186"/>
    <cellStyle name="Input 2 3" xfId="187"/>
    <cellStyle name="Input 2 4" xfId="188"/>
    <cellStyle name="Input 2 5" xfId="189"/>
    <cellStyle name="Input 2 6" xfId="190"/>
    <cellStyle name="Input 2 7" xfId="191"/>
    <cellStyle name="Input 2 8" xfId="192"/>
    <cellStyle name="Link Currency (0)" xfId="193"/>
    <cellStyle name="Link Currency (2)" xfId="194"/>
    <cellStyle name="Link Units (0)" xfId="195"/>
    <cellStyle name="Link Units (1)" xfId="196"/>
    <cellStyle name="Link Units (2)" xfId="197"/>
    <cellStyle name="Linked Cell 2" xfId="198"/>
    <cellStyle name="Linked Cell 2 2" xfId="199"/>
    <cellStyle name="Millenium" xfId="200"/>
    <cellStyle name="Milliers [0]_!!!GO" xfId="201"/>
    <cellStyle name="Milliers_!!!GO" xfId="202"/>
    <cellStyle name="Monétaire [0]_!!!GO" xfId="203"/>
    <cellStyle name="Monétaire_!!!GO" xfId="204"/>
    <cellStyle name="My act" xfId="205"/>
    <cellStyle name="My color" xfId="206"/>
    <cellStyle name="My date" xfId="207"/>
    <cellStyle name="My number" xfId="208"/>
    <cellStyle name="My number2" xfId="209"/>
    <cellStyle name="My percent" xfId="210"/>
    <cellStyle name="My percent2" xfId="211"/>
    <cellStyle name="My title" xfId="212"/>
    <cellStyle name="Neutral 2" xfId="213"/>
    <cellStyle name="Neutral 2 2" xfId="214"/>
    <cellStyle name="Non défini" xfId="215"/>
    <cellStyle name="Normal" xfId="0" builtinId="0"/>
    <cellStyle name="Normal - Style1" xfId="216"/>
    <cellStyle name="Normal 10" xfId="7"/>
    <cellStyle name="Normal 11" xfId="321"/>
    <cellStyle name="Normal 2" xfId="3"/>
    <cellStyle name="Normal 2 2" xfId="217"/>
    <cellStyle name="Normal 2 3" xfId="218"/>
    <cellStyle name="Normal 2 4" xfId="219"/>
    <cellStyle name="Normal 3" xfId="8"/>
    <cellStyle name="Normal 3 2" xfId="220"/>
    <cellStyle name="Normal 3 3" xfId="221"/>
    <cellStyle name="Normal 3 4" xfId="222"/>
    <cellStyle name="Normal 4" xfId="223"/>
    <cellStyle name="Normal 4 2" xfId="224"/>
    <cellStyle name="Normal 4 2 2" xfId="225"/>
    <cellStyle name="Normal 4 3" xfId="226"/>
    <cellStyle name="Normal 4 3 2" xfId="227"/>
    <cellStyle name="Normal 4 4" xfId="228"/>
    <cellStyle name="Normal 4 5" xfId="229"/>
    <cellStyle name="Normal 5" xfId="230"/>
    <cellStyle name="Normal 5 2" xfId="231"/>
    <cellStyle name="Normal 5 3" xfId="232"/>
    <cellStyle name="Normal 5 4" xfId="233"/>
    <cellStyle name="Normal 6" xfId="234"/>
    <cellStyle name="Normal 7" xfId="235"/>
    <cellStyle name="Normal 8" xfId="236"/>
    <cellStyle name="Normal 9" xfId="6"/>
    <cellStyle name="Note 2" xfId="237"/>
    <cellStyle name="Note 2 2" xfId="238"/>
    <cellStyle name="Note 2 3" xfId="239"/>
    <cellStyle name="Note 2 4" xfId="240"/>
    <cellStyle name="Note 2 5" xfId="241"/>
    <cellStyle name="Note 2 6" xfId="242"/>
    <cellStyle name="Note 2 7" xfId="243"/>
    <cellStyle name="Note 2 8" xfId="244"/>
    <cellStyle name="Note 2 9" xfId="245"/>
    <cellStyle name="Note 3" xfId="246"/>
    <cellStyle name="Œ…‹æØ‚è [0.00]_fcs1" xfId="247"/>
    <cellStyle name="Œ…‹æØ‚è_fcs1" xfId="248"/>
    <cellStyle name="Output 2" xfId="249"/>
    <cellStyle name="Output 2 2" xfId="250"/>
    <cellStyle name="Output 2 3" xfId="251"/>
    <cellStyle name="Output 2 4" xfId="252"/>
    <cellStyle name="Output 2 5" xfId="253"/>
    <cellStyle name="Output 2 6" xfId="254"/>
    <cellStyle name="Output 2 7" xfId="255"/>
    <cellStyle name="Output 2 8" xfId="256"/>
    <cellStyle name="Pattern" xfId="257"/>
    <cellStyle name="per.style" xfId="258"/>
    <cellStyle name="Percent" xfId="2" builtinId="5"/>
    <cellStyle name="Percent [0]" xfId="259"/>
    <cellStyle name="Percent [00]" xfId="260"/>
    <cellStyle name="Percent [2]" xfId="261"/>
    <cellStyle name="Percent 10" xfId="262"/>
    <cellStyle name="Percent 11" xfId="263"/>
    <cellStyle name="Percent 12" xfId="322"/>
    <cellStyle name="Percent 2" xfId="4"/>
    <cellStyle name="Percent 2 2" xfId="264"/>
    <cellStyle name="Percent 2 2 2" xfId="265"/>
    <cellStyle name="Percent 2 3" xfId="266"/>
    <cellStyle name="Percent 2 4" xfId="267"/>
    <cellStyle name="Percent 3" xfId="268"/>
    <cellStyle name="Percent 3 2" xfId="269"/>
    <cellStyle name="Percent 3 3" xfId="270"/>
    <cellStyle name="Percent 4" xfId="271"/>
    <cellStyle name="Percent 4 2" xfId="272"/>
    <cellStyle name="Percent 4 3" xfId="273"/>
    <cellStyle name="Percent 5" xfId="274"/>
    <cellStyle name="Percent 5 2" xfId="275"/>
    <cellStyle name="Percent 5 3" xfId="276"/>
    <cellStyle name="Percent 6" xfId="277"/>
    <cellStyle name="Percent 6 2" xfId="278"/>
    <cellStyle name="Percent 7" xfId="279"/>
    <cellStyle name="Percent 8" xfId="280"/>
    <cellStyle name="Percent 9" xfId="281"/>
    <cellStyle name="PrePop Currency (0)" xfId="282"/>
    <cellStyle name="PrePop Currency (2)" xfId="283"/>
    <cellStyle name="PrePop Units (0)" xfId="284"/>
    <cellStyle name="PrePop Units (1)" xfId="285"/>
    <cellStyle name="PrePop Units (2)" xfId="286"/>
    <cellStyle name="pricing" xfId="287"/>
    <cellStyle name="PSChar" xfId="288"/>
    <cellStyle name="PSDec" xfId="289"/>
    <cellStyle name="PSInt" xfId="290"/>
    <cellStyle name="Red" xfId="291"/>
    <cellStyle name="RevList" xfId="292"/>
    <cellStyle name="Style 1" xfId="293"/>
    <cellStyle name="Style 1 2" xfId="294"/>
    <cellStyle name="Subtotal" xfId="295"/>
    <cellStyle name="Text Indent A" xfId="296"/>
    <cellStyle name="Text Indent B" xfId="297"/>
    <cellStyle name="Text Indent C" xfId="298"/>
    <cellStyle name="Times New Roman" xfId="299"/>
    <cellStyle name="Title 2" xfId="300"/>
    <cellStyle name="Title 2 2" xfId="301"/>
    <cellStyle name="Total 2" xfId="302"/>
    <cellStyle name="Total 2 2" xfId="303"/>
    <cellStyle name="Total 2 3" xfId="304"/>
    <cellStyle name="Total 2 4" xfId="305"/>
    <cellStyle name="Total 2 5" xfId="306"/>
    <cellStyle name="Total 2 6" xfId="307"/>
    <cellStyle name="Total 2 7" xfId="308"/>
    <cellStyle name="Total 2 8" xfId="309"/>
    <cellStyle name="Tusenskille1000" xfId="310"/>
    <cellStyle name="Tusental (0)_pldt" xfId="311"/>
    <cellStyle name="Tusental_pldt" xfId="312"/>
    <cellStyle name="Valuta (0)_pldt" xfId="313"/>
    <cellStyle name="Valuta_pldt" xfId="314"/>
    <cellStyle name="Warning Text 2" xfId="315"/>
    <cellStyle name="Warning Text 2 2" xfId="316"/>
    <cellStyle name="표준_Credit_Initiation_Metrics(2)" xfId="317"/>
    <cellStyle name="一般_BKFYF05(ex25)-ByAmt" xfId="318"/>
    <cellStyle name="千分位[0]_MLre-sharen" xfId="319"/>
    <cellStyle name="敨瑥1渀欀" xfId="320"/>
  </cellStyles>
  <dxfs count="57">
    <dxf>
      <fill>
        <patternFill>
          <bgColor theme="9" tint="-0.24994659260841701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ont>
        <condense val="0"/>
        <extend val="0"/>
        <color indexed="11"/>
      </font>
      <fill>
        <patternFill>
          <bgColor indexed="11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ont>
        <condense val="0"/>
        <extend val="0"/>
        <color indexed="11"/>
      </font>
      <fill>
        <patternFill>
          <bgColor indexed="11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ont>
        <condense val="0"/>
        <extend val="0"/>
        <color indexed="11"/>
      </font>
      <fill>
        <patternFill>
          <bgColor indexed="11"/>
        </patternFill>
      </fill>
    </dxf>
    <dxf>
      <font>
        <color rgb="FFFFC000"/>
      </font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023997813722302E-2"/>
          <c:y val="0.12291839266753052"/>
          <c:w val="0.83066060885556336"/>
          <c:h val="0.61900206640408262"/>
        </c:manualLayout>
      </c:layout>
      <c:lineChart>
        <c:grouping val="standard"/>
        <c:varyColors val="0"/>
        <c:ser>
          <c:idx val="0"/>
          <c:order val="0"/>
          <c:tx>
            <c:strRef>
              <c:f>Fit!$D$2</c:f>
              <c:strCache>
                <c:ptCount val="1"/>
                <c:pt idx="0">
                  <c:v>HHI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strRef>
              <c:f>Fit!$B$3:$B$34</c:f>
              <c:strCache>
                <c:ptCount val="32"/>
                <c:pt idx="0">
                  <c:v>2009Q3</c:v>
                </c:pt>
                <c:pt idx="1">
                  <c:v>2009Q4</c:v>
                </c:pt>
                <c:pt idx="2">
                  <c:v>2010Q1</c:v>
                </c:pt>
                <c:pt idx="3">
                  <c:v>2010Q2</c:v>
                </c:pt>
                <c:pt idx="4">
                  <c:v>2010Q3</c:v>
                </c:pt>
                <c:pt idx="5">
                  <c:v>2010Q4</c:v>
                </c:pt>
                <c:pt idx="6">
                  <c:v>2011Q1</c:v>
                </c:pt>
                <c:pt idx="7">
                  <c:v>2011Q2</c:v>
                </c:pt>
                <c:pt idx="8">
                  <c:v>2011Q3</c:v>
                </c:pt>
                <c:pt idx="9">
                  <c:v>2011Q4</c:v>
                </c:pt>
                <c:pt idx="10">
                  <c:v>2012Q1</c:v>
                </c:pt>
                <c:pt idx="11">
                  <c:v>2012Q2</c:v>
                </c:pt>
                <c:pt idx="12">
                  <c:v>2012Q3</c:v>
                </c:pt>
                <c:pt idx="13">
                  <c:v>2012Q4</c:v>
                </c:pt>
                <c:pt idx="14">
                  <c:v>2013Q1</c:v>
                </c:pt>
                <c:pt idx="15">
                  <c:v>2013Q2</c:v>
                </c:pt>
                <c:pt idx="16">
                  <c:v>2013Q3</c:v>
                </c:pt>
                <c:pt idx="17">
                  <c:v>2013Q4</c:v>
                </c:pt>
                <c:pt idx="18">
                  <c:v>2014Q1</c:v>
                </c:pt>
                <c:pt idx="19">
                  <c:v>2014Q2</c:v>
                </c:pt>
                <c:pt idx="20">
                  <c:v>2014Q3</c:v>
                </c:pt>
                <c:pt idx="21">
                  <c:v>2014Q4</c:v>
                </c:pt>
                <c:pt idx="22">
                  <c:v>2015Q1</c:v>
                </c:pt>
                <c:pt idx="23">
                  <c:v>2015Q2</c:v>
                </c:pt>
                <c:pt idx="24">
                  <c:v>2015Q3</c:v>
                </c:pt>
                <c:pt idx="25">
                  <c:v>2015Q4</c:v>
                </c:pt>
                <c:pt idx="26">
                  <c:v>2016Q1</c:v>
                </c:pt>
                <c:pt idx="27">
                  <c:v>2016Q2</c:v>
                </c:pt>
                <c:pt idx="28">
                  <c:v>2016Q3</c:v>
                </c:pt>
                <c:pt idx="29">
                  <c:v>2016Q4</c:v>
                </c:pt>
                <c:pt idx="30">
                  <c:v>2017Q1</c:v>
                </c:pt>
                <c:pt idx="31">
                  <c:v>2017Q2</c:v>
                </c:pt>
              </c:strCache>
            </c:strRef>
          </c:cat>
          <c:val>
            <c:numRef>
              <c:f>Fit!$D$3:$D$34</c:f>
              <c:numCache>
                <c:formatCode>0.000000</c:formatCode>
                <c:ptCount val="32"/>
                <c:pt idx="0">
                  <c:v>0.70492299999999997</c:v>
                </c:pt>
                <c:pt idx="1">
                  <c:v>0.79964500000000005</c:v>
                </c:pt>
                <c:pt idx="2">
                  <c:v>0.22153800000000001</c:v>
                </c:pt>
                <c:pt idx="3">
                  <c:v>3.8751000000000001E-2</c:v>
                </c:pt>
                <c:pt idx="4">
                  <c:v>0.141595</c:v>
                </c:pt>
                <c:pt idx="5">
                  <c:v>0.23594499999999999</c:v>
                </c:pt>
                <c:pt idx="6">
                  <c:v>0.19911799999999999</c:v>
                </c:pt>
                <c:pt idx="7">
                  <c:v>0.25814799999999999</c:v>
                </c:pt>
                <c:pt idx="8">
                  <c:v>0.13233700000000001</c:v>
                </c:pt>
                <c:pt idx="9">
                  <c:v>-0.18554000000000001</c:v>
                </c:pt>
                <c:pt idx="10">
                  <c:v>-0.1981</c:v>
                </c:pt>
                <c:pt idx="11">
                  <c:v>-0.1535</c:v>
                </c:pt>
                <c:pt idx="12">
                  <c:v>7.2604000000000002E-2</c:v>
                </c:pt>
                <c:pt idx="13">
                  <c:v>0.123625</c:v>
                </c:pt>
                <c:pt idx="14">
                  <c:v>6.9665000000000005E-2</c:v>
                </c:pt>
                <c:pt idx="15">
                  <c:v>-8.3700000000000007E-3</c:v>
                </c:pt>
                <c:pt idx="16">
                  <c:v>-1.0699999999999999E-2</c:v>
                </c:pt>
                <c:pt idx="17">
                  <c:v>0.11673</c:v>
                </c:pt>
                <c:pt idx="18">
                  <c:v>1.6178000000000001E-2</c:v>
                </c:pt>
                <c:pt idx="19">
                  <c:v>-0.20812</c:v>
                </c:pt>
                <c:pt idx="20">
                  <c:v>-0.46965000000000001</c:v>
                </c:pt>
                <c:pt idx="21">
                  <c:v>-0.41032999999999997</c:v>
                </c:pt>
                <c:pt idx="22">
                  <c:v>-0.2944</c:v>
                </c:pt>
                <c:pt idx="23">
                  <c:v>-0.31508999999999998</c:v>
                </c:pt>
                <c:pt idx="24">
                  <c:v>-0.33866000000000002</c:v>
                </c:pt>
                <c:pt idx="25">
                  <c:v>-0.31394</c:v>
                </c:pt>
                <c:pt idx="26">
                  <c:v>0.178729</c:v>
                </c:pt>
                <c:pt idx="27">
                  <c:v>0.40240199999999998</c:v>
                </c:pt>
                <c:pt idx="28">
                  <c:v>0.56516200000000005</c:v>
                </c:pt>
                <c:pt idx="29">
                  <c:v>0.46443800000000002</c:v>
                </c:pt>
                <c:pt idx="30">
                  <c:v>-3.5459999999999998E-2</c:v>
                </c:pt>
                <c:pt idx="31">
                  <c:v>-0.12819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12-4D09-99B6-A301A0D08D85}"/>
            </c:ext>
          </c:extLst>
        </c:ser>
        <c:ser>
          <c:idx val="1"/>
          <c:order val="1"/>
          <c:tx>
            <c:strRef>
              <c:f>Fit!$E$2</c:f>
              <c:strCache>
                <c:ptCount val="1"/>
                <c:pt idx="0">
                  <c:v>Unemployment Lag</c:v>
                </c:pt>
              </c:strCache>
            </c:strRef>
          </c:tx>
          <c:spPr>
            <a:ln w="190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Fit!$B$3:$B$34</c:f>
              <c:strCache>
                <c:ptCount val="32"/>
                <c:pt idx="0">
                  <c:v>2009Q3</c:v>
                </c:pt>
                <c:pt idx="1">
                  <c:v>2009Q4</c:v>
                </c:pt>
                <c:pt idx="2">
                  <c:v>2010Q1</c:v>
                </c:pt>
                <c:pt idx="3">
                  <c:v>2010Q2</c:v>
                </c:pt>
                <c:pt idx="4">
                  <c:v>2010Q3</c:v>
                </c:pt>
                <c:pt idx="5">
                  <c:v>2010Q4</c:v>
                </c:pt>
                <c:pt idx="6">
                  <c:v>2011Q1</c:v>
                </c:pt>
                <c:pt idx="7">
                  <c:v>2011Q2</c:v>
                </c:pt>
                <c:pt idx="8">
                  <c:v>2011Q3</c:v>
                </c:pt>
                <c:pt idx="9">
                  <c:v>2011Q4</c:v>
                </c:pt>
                <c:pt idx="10">
                  <c:v>2012Q1</c:v>
                </c:pt>
                <c:pt idx="11">
                  <c:v>2012Q2</c:v>
                </c:pt>
                <c:pt idx="12">
                  <c:v>2012Q3</c:v>
                </c:pt>
                <c:pt idx="13">
                  <c:v>2012Q4</c:v>
                </c:pt>
                <c:pt idx="14">
                  <c:v>2013Q1</c:v>
                </c:pt>
                <c:pt idx="15">
                  <c:v>2013Q2</c:v>
                </c:pt>
                <c:pt idx="16">
                  <c:v>2013Q3</c:v>
                </c:pt>
                <c:pt idx="17">
                  <c:v>2013Q4</c:v>
                </c:pt>
                <c:pt idx="18">
                  <c:v>2014Q1</c:v>
                </c:pt>
                <c:pt idx="19">
                  <c:v>2014Q2</c:v>
                </c:pt>
                <c:pt idx="20">
                  <c:v>2014Q3</c:v>
                </c:pt>
                <c:pt idx="21">
                  <c:v>2014Q4</c:v>
                </c:pt>
                <c:pt idx="22">
                  <c:v>2015Q1</c:v>
                </c:pt>
                <c:pt idx="23">
                  <c:v>2015Q2</c:v>
                </c:pt>
                <c:pt idx="24">
                  <c:v>2015Q3</c:v>
                </c:pt>
                <c:pt idx="25">
                  <c:v>2015Q4</c:v>
                </c:pt>
                <c:pt idx="26">
                  <c:v>2016Q1</c:v>
                </c:pt>
                <c:pt idx="27">
                  <c:v>2016Q2</c:v>
                </c:pt>
                <c:pt idx="28">
                  <c:v>2016Q3</c:v>
                </c:pt>
                <c:pt idx="29">
                  <c:v>2016Q4</c:v>
                </c:pt>
                <c:pt idx="30">
                  <c:v>2017Q1</c:v>
                </c:pt>
                <c:pt idx="31">
                  <c:v>2017Q2</c:v>
                </c:pt>
              </c:strCache>
            </c:strRef>
          </c:cat>
          <c:val>
            <c:numRef>
              <c:f>Fit!$E$3:$E$34</c:f>
              <c:numCache>
                <c:formatCode>0.000000</c:formatCode>
                <c:ptCount val="32"/>
                <c:pt idx="0">
                  <c:v>0.53312400000000004</c:v>
                </c:pt>
                <c:pt idx="1">
                  <c:v>0.73993600000000004</c:v>
                </c:pt>
                <c:pt idx="2">
                  <c:v>0.524119</c:v>
                </c:pt>
                <c:pt idx="3">
                  <c:v>0.42574099999999998</c:v>
                </c:pt>
                <c:pt idx="4">
                  <c:v>0.17574300000000001</c:v>
                </c:pt>
                <c:pt idx="5">
                  <c:v>-5.1499999999999997E-2</c:v>
                </c:pt>
                <c:pt idx="6">
                  <c:v>-0.36503000000000002</c:v>
                </c:pt>
                <c:pt idx="7">
                  <c:v>-0.55654999999999999</c:v>
                </c:pt>
                <c:pt idx="8">
                  <c:v>-0.62000999999999995</c:v>
                </c:pt>
                <c:pt idx="9">
                  <c:v>-0.65902000000000005</c:v>
                </c:pt>
                <c:pt idx="10">
                  <c:v>-0.68066000000000004</c:v>
                </c:pt>
                <c:pt idx="11">
                  <c:v>-0.74297000000000002</c:v>
                </c:pt>
                <c:pt idx="12">
                  <c:v>-0.84416000000000002</c:v>
                </c:pt>
                <c:pt idx="13">
                  <c:v>-0.78500000000000003</c:v>
                </c:pt>
                <c:pt idx="14">
                  <c:v>-0.66822000000000004</c:v>
                </c:pt>
                <c:pt idx="15">
                  <c:v>-0.62919999999999998</c:v>
                </c:pt>
                <c:pt idx="16">
                  <c:v>-0.55266000000000004</c:v>
                </c:pt>
                <c:pt idx="17">
                  <c:v>-0.50761000000000001</c:v>
                </c:pt>
                <c:pt idx="18">
                  <c:v>-0.53908999999999996</c:v>
                </c:pt>
                <c:pt idx="19">
                  <c:v>-0.64544999999999997</c:v>
                </c:pt>
                <c:pt idx="20">
                  <c:v>-0.87931999999999999</c:v>
                </c:pt>
                <c:pt idx="21">
                  <c:v>-1.17133</c:v>
                </c:pt>
                <c:pt idx="22">
                  <c:v>-1.2151400000000001</c:v>
                </c:pt>
                <c:pt idx="23">
                  <c:v>-1.0515099999999999</c:v>
                </c:pt>
                <c:pt idx="24">
                  <c:v>-0.71714</c:v>
                </c:pt>
                <c:pt idx="25">
                  <c:v>-0.38890000000000002</c:v>
                </c:pt>
                <c:pt idx="26">
                  <c:v>-0.17766000000000001</c:v>
                </c:pt>
                <c:pt idx="27">
                  <c:v>4.6963999999999999E-2</c:v>
                </c:pt>
                <c:pt idx="28">
                  <c:v>7.1263000000000007E-2</c:v>
                </c:pt>
                <c:pt idx="29">
                  <c:v>0.113082</c:v>
                </c:pt>
                <c:pt idx="30">
                  <c:v>0.15784599999999999</c:v>
                </c:pt>
                <c:pt idx="31">
                  <c:v>0.11962200000000001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12-4D09-99B6-A301A0D08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598848"/>
        <c:axId val="219601152"/>
      </c:lineChart>
      <c:lineChart>
        <c:grouping val="standard"/>
        <c:varyColors val="0"/>
        <c:ser>
          <c:idx val="2"/>
          <c:order val="2"/>
          <c:tx>
            <c:strRef>
              <c:f>Fit!$F$2</c:f>
              <c:strCache>
                <c:ptCount val="1"/>
                <c:pt idx="0">
                  <c:v>ODR</c:v>
                </c:pt>
              </c:strCache>
            </c:strRef>
          </c:tx>
          <c:spPr>
            <a:ln w="19050">
              <a:prstDash val="dash"/>
            </a:ln>
          </c:spPr>
          <c:marker>
            <c:symbol val="none"/>
          </c:marker>
          <c:cat>
            <c:strRef>
              <c:f>Fit!$B$3:$B$34</c:f>
              <c:strCache>
                <c:ptCount val="32"/>
                <c:pt idx="0">
                  <c:v>2009Q3</c:v>
                </c:pt>
                <c:pt idx="1">
                  <c:v>2009Q4</c:v>
                </c:pt>
                <c:pt idx="2">
                  <c:v>2010Q1</c:v>
                </c:pt>
                <c:pt idx="3">
                  <c:v>2010Q2</c:v>
                </c:pt>
                <c:pt idx="4">
                  <c:v>2010Q3</c:v>
                </c:pt>
                <c:pt idx="5">
                  <c:v>2010Q4</c:v>
                </c:pt>
                <c:pt idx="6">
                  <c:v>2011Q1</c:v>
                </c:pt>
                <c:pt idx="7">
                  <c:v>2011Q2</c:v>
                </c:pt>
                <c:pt idx="8">
                  <c:v>2011Q3</c:v>
                </c:pt>
                <c:pt idx="9">
                  <c:v>2011Q4</c:v>
                </c:pt>
                <c:pt idx="10">
                  <c:v>2012Q1</c:v>
                </c:pt>
                <c:pt idx="11">
                  <c:v>2012Q2</c:v>
                </c:pt>
                <c:pt idx="12">
                  <c:v>2012Q3</c:v>
                </c:pt>
                <c:pt idx="13">
                  <c:v>2012Q4</c:v>
                </c:pt>
                <c:pt idx="14">
                  <c:v>2013Q1</c:v>
                </c:pt>
                <c:pt idx="15">
                  <c:v>2013Q2</c:v>
                </c:pt>
                <c:pt idx="16">
                  <c:v>2013Q3</c:v>
                </c:pt>
                <c:pt idx="17">
                  <c:v>2013Q4</c:v>
                </c:pt>
                <c:pt idx="18">
                  <c:v>2014Q1</c:v>
                </c:pt>
                <c:pt idx="19">
                  <c:v>2014Q2</c:v>
                </c:pt>
                <c:pt idx="20">
                  <c:v>2014Q3</c:v>
                </c:pt>
                <c:pt idx="21">
                  <c:v>2014Q4</c:v>
                </c:pt>
                <c:pt idx="22">
                  <c:v>2015Q1</c:v>
                </c:pt>
                <c:pt idx="23">
                  <c:v>2015Q2</c:v>
                </c:pt>
                <c:pt idx="24">
                  <c:v>2015Q3</c:v>
                </c:pt>
                <c:pt idx="25">
                  <c:v>2015Q4</c:v>
                </c:pt>
                <c:pt idx="26">
                  <c:v>2016Q1</c:v>
                </c:pt>
                <c:pt idx="27">
                  <c:v>2016Q2</c:v>
                </c:pt>
                <c:pt idx="28">
                  <c:v>2016Q3</c:v>
                </c:pt>
                <c:pt idx="29">
                  <c:v>2016Q4</c:v>
                </c:pt>
                <c:pt idx="30">
                  <c:v>2017Q1</c:v>
                </c:pt>
                <c:pt idx="31">
                  <c:v>2017Q2</c:v>
                </c:pt>
              </c:strCache>
            </c:strRef>
          </c:cat>
          <c:val>
            <c:numRef>
              <c:f>Fit!$F$3:$F$34</c:f>
              <c:numCache>
                <c:formatCode>0.00%</c:formatCode>
                <c:ptCount val="32"/>
                <c:pt idx="0">
                  <c:v>6.5329999999999997E-3</c:v>
                </c:pt>
                <c:pt idx="1">
                  <c:v>6.8989999999999998E-3</c:v>
                </c:pt>
                <c:pt idx="2">
                  <c:v>7.0860000000000003E-3</c:v>
                </c:pt>
                <c:pt idx="3">
                  <c:v>7.0080000000000003E-3</c:v>
                </c:pt>
                <c:pt idx="4">
                  <c:v>6.1539999999999997E-3</c:v>
                </c:pt>
                <c:pt idx="5">
                  <c:v>6.1269999999999996E-3</c:v>
                </c:pt>
                <c:pt idx="6">
                  <c:v>6.3169999999999997E-3</c:v>
                </c:pt>
                <c:pt idx="7">
                  <c:v>5.5620000000000001E-3</c:v>
                </c:pt>
                <c:pt idx="8">
                  <c:v>4.4270000000000004E-3</c:v>
                </c:pt>
                <c:pt idx="9">
                  <c:v>4.718E-3</c:v>
                </c:pt>
                <c:pt idx="10">
                  <c:v>4.8929999999999998E-3</c:v>
                </c:pt>
                <c:pt idx="11">
                  <c:v>4.3800000000000002E-3</c:v>
                </c:pt>
                <c:pt idx="12">
                  <c:v>4.0159999999999996E-3</c:v>
                </c:pt>
                <c:pt idx="13">
                  <c:v>4.084E-3</c:v>
                </c:pt>
                <c:pt idx="14">
                  <c:v>3.9249999999999997E-3</c:v>
                </c:pt>
                <c:pt idx="15">
                  <c:v>3.5409999999999999E-3</c:v>
                </c:pt>
                <c:pt idx="16">
                  <c:v>3.7659999999999998E-3</c:v>
                </c:pt>
                <c:pt idx="17">
                  <c:v>3.2330000000000002E-3</c:v>
                </c:pt>
                <c:pt idx="18">
                  <c:v>3.6640000000000002E-3</c:v>
                </c:pt>
                <c:pt idx="19">
                  <c:v>3.454E-3</c:v>
                </c:pt>
                <c:pt idx="20">
                  <c:v>3.7309999999999999E-3</c:v>
                </c:pt>
                <c:pt idx="21">
                  <c:v>3.6089999999999998E-3</c:v>
                </c:pt>
                <c:pt idx="22">
                  <c:v>4.202E-3</c:v>
                </c:pt>
                <c:pt idx="23">
                  <c:v>4.0980000000000001E-3</c:v>
                </c:pt>
                <c:pt idx="24">
                  <c:v>3.7399999999999998E-3</c:v>
                </c:pt>
                <c:pt idx="25">
                  <c:v>3.823E-3</c:v>
                </c:pt>
                <c:pt idx="26">
                  <c:v>4.3949999999999996E-3</c:v>
                </c:pt>
                <c:pt idx="27">
                  <c:v>3.7460000000000002E-3</c:v>
                </c:pt>
                <c:pt idx="28">
                  <c:v>3.9389999999999998E-3</c:v>
                </c:pt>
                <c:pt idx="29">
                  <c:v>3.555E-3</c:v>
                </c:pt>
                <c:pt idx="30">
                  <c:v>4.3109999999999997E-3</c:v>
                </c:pt>
                <c:pt idx="31">
                  <c:v>4.3509999999999998E-3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12-4D09-99B6-A301A0D08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604480"/>
        <c:axId val="219602944"/>
      </c:lineChart>
      <c:catAx>
        <c:axId val="2195988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19601152"/>
        <c:crossesAt val="-1.6"/>
        <c:auto val="1"/>
        <c:lblAlgn val="ctr"/>
        <c:lblOffset val="100"/>
        <c:noMultiLvlLbl val="0"/>
      </c:catAx>
      <c:valAx>
        <c:axId val="219601152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219598848"/>
        <c:crosses val="autoZero"/>
        <c:crossBetween val="between"/>
      </c:valAx>
      <c:valAx>
        <c:axId val="21960294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219604480"/>
        <c:crosses val="max"/>
        <c:crossBetween val="between"/>
      </c:valAx>
      <c:catAx>
        <c:axId val="219604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1960294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900">
          <a:latin typeface="+mn-lt"/>
        </a:defRPr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b="1"/>
              <a:t>Model 3 (</a:t>
            </a:r>
            <a:r>
              <a:rPr lang="en-GB" sz="1080" b="1" i="0" u="none" strike="noStrike" baseline="0">
                <a:effectLst/>
              </a:rPr>
              <a:t>ODR lag weight of 0.5</a:t>
            </a:r>
            <a:r>
              <a:rPr lang="en-GB" b="1"/>
              <a:t>)</a:t>
            </a:r>
          </a:p>
        </c:rich>
      </c:tx>
      <c:layout>
        <c:manualLayout>
          <c:xMode val="edge"/>
          <c:yMode val="edge"/>
          <c:x val="0.35107669804113795"/>
          <c:y val="2.975645983157035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7628139075208195E-2"/>
          <c:y val="0.12264658949390303"/>
          <c:w val="0.86790792881582079"/>
          <c:h val="0.62966880930366254"/>
        </c:manualLayout>
      </c:layout>
      <c:lineChart>
        <c:grouping val="standard"/>
        <c:varyColors val="0"/>
        <c:ser>
          <c:idx val="0"/>
          <c:order val="0"/>
          <c:tx>
            <c:strRef>
              <c:f>Fit!$H$2</c:f>
              <c:strCache>
                <c:ptCount val="1"/>
                <c:pt idx="0">
                  <c:v>Naïve Model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strRef>
              <c:f>Fit!$B$3:$B$34</c:f>
              <c:strCache>
                <c:ptCount val="32"/>
                <c:pt idx="0">
                  <c:v>2009Q3</c:v>
                </c:pt>
                <c:pt idx="1">
                  <c:v>2009Q4</c:v>
                </c:pt>
                <c:pt idx="2">
                  <c:v>2010Q1</c:v>
                </c:pt>
                <c:pt idx="3">
                  <c:v>2010Q2</c:v>
                </c:pt>
                <c:pt idx="4">
                  <c:v>2010Q3</c:v>
                </c:pt>
                <c:pt idx="5">
                  <c:v>2010Q4</c:v>
                </c:pt>
                <c:pt idx="6">
                  <c:v>2011Q1</c:v>
                </c:pt>
                <c:pt idx="7">
                  <c:v>2011Q2</c:v>
                </c:pt>
                <c:pt idx="8">
                  <c:v>2011Q3</c:v>
                </c:pt>
                <c:pt idx="9">
                  <c:v>2011Q4</c:v>
                </c:pt>
                <c:pt idx="10">
                  <c:v>2012Q1</c:v>
                </c:pt>
                <c:pt idx="11">
                  <c:v>2012Q2</c:v>
                </c:pt>
                <c:pt idx="12">
                  <c:v>2012Q3</c:v>
                </c:pt>
                <c:pt idx="13">
                  <c:v>2012Q4</c:v>
                </c:pt>
                <c:pt idx="14">
                  <c:v>2013Q1</c:v>
                </c:pt>
                <c:pt idx="15">
                  <c:v>2013Q2</c:v>
                </c:pt>
                <c:pt idx="16">
                  <c:v>2013Q3</c:v>
                </c:pt>
                <c:pt idx="17">
                  <c:v>2013Q4</c:v>
                </c:pt>
                <c:pt idx="18">
                  <c:v>2014Q1</c:v>
                </c:pt>
                <c:pt idx="19">
                  <c:v>2014Q2</c:v>
                </c:pt>
                <c:pt idx="20">
                  <c:v>2014Q3</c:v>
                </c:pt>
                <c:pt idx="21">
                  <c:v>2014Q4</c:v>
                </c:pt>
                <c:pt idx="22">
                  <c:v>2015Q1</c:v>
                </c:pt>
                <c:pt idx="23">
                  <c:v>2015Q2</c:v>
                </c:pt>
                <c:pt idx="24">
                  <c:v>2015Q3</c:v>
                </c:pt>
                <c:pt idx="25">
                  <c:v>2015Q4</c:v>
                </c:pt>
                <c:pt idx="26">
                  <c:v>2016Q1</c:v>
                </c:pt>
                <c:pt idx="27">
                  <c:v>2016Q2</c:v>
                </c:pt>
                <c:pt idx="28">
                  <c:v>2016Q3</c:v>
                </c:pt>
                <c:pt idx="29">
                  <c:v>2016Q4</c:v>
                </c:pt>
                <c:pt idx="30">
                  <c:v>2017Q1</c:v>
                </c:pt>
                <c:pt idx="31">
                  <c:v>2017Q2</c:v>
                </c:pt>
              </c:strCache>
            </c:strRef>
          </c:cat>
          <c:val>
            <c:numRef>
              <c:f>Fit!$H$3:$H$34</c:f>
              <c:numCache>
                <c:formatCode>0.00%</c:formatCode>
                <c:ptCount val="32"/>
                <c:pt idx="0">
                  <c:v>6.1199999999999996E-3</c:v>
                </c:pt>
                <c:pt idx="1">
                  <c:v>6.0699999999999999E-3</c:v>
                </c:pt>
                <c:pt idx="2">
                  <c:v>6.0400000000000002E-3</c:v>
                </c:pt>
                <c:pt idx="3">
                  <c:v>5.6499999999999996E-3</c:v>
                </c:pt>
                <c:pt idx="4">
                  <c:v>5.2399999999999999E-3</c:v>
                </c:pt>
                <c:pt idx="5">
                  <c:v>5.1900000000000002E-3</c:v>
                </c:pt>
                <c:pt idx="6">
                  <c:v>5.1599999999999997E-3</c:v>
                </c:pt>
                <c:pt idx="7">
                  <c:v>5.0800000000000003E-3</c:v>
                </c:pt>
                <c:pt idx="8">
                  <c:v>5.0600000000000003E-3</c:v>
                </c:pt>
                <c:pt idx="9">
                  <c:v>5.1799999999999997E-3</c:v>
                </c:pt>
                <c:pt idx="10">
                  <c:v>5.0299999999999997E-3</c:v>
                </c:pt>
                <c:pt idx="11">
                  <c:v>4.9100000000000003E-3</c:v>
                </c:pt>
                <c:pt idx="12">
                  <c:v>4.7400000000000003E-3</c:v>
                </c:pt>
                <c:pt idx="13">
                  <c:v>4.6299999999999996E-3</c:v>
                </c:pt>
                <c:pt idx="14">
                  <c:v>4.5199999999999997E-3</c:v>
                </c:pt>
                <c:pt idx="15">
                  <c:v>4.2300000000000003E-3</c:v>
                </c:pt>
                <c:pt idx="16">
                  <c:v>4.13E-3</c:v>
                </c:pt>
                <c:pt idx="17">
                  <c:v>4.1799999999999997E-3</c:v>
                </c:pt>
                <c:pt idx="18">
                  <c:v>4.1599999999999996E-3</c:v>
                </c:pt>
                <c:pt idx="19">
                  <c:v>4.0299999999999997E-3</c:v>
                </c:pt>
                <c:pt idx="20">
                  <c:v>4.0299999999999997E-3</c:v>
                </c:pt>
                <c:pt idx="21">
                  <c:v>4.0000000000000001E-3</c:v>
                </c:pt>
                <c:pt idx="22">
                  <c:v>4.0899999999999999E-3</c:v>
                </c:pt>
                <c:pt idx="23">
                  <c:v>4.0800000000000003E-3</c:v>
                </c:pt>
                <c:pt idx="24">
                  <c:v>4.1999999999999997E-3</c:v>
                </c:pt>
                <c:pt idx="25">
                  <c:v>4.45E-3</c:v>
                </c:pt>
                <c:pt idx="26">
                  <c:v>4.4200000000000003E-3</c:v>
                </c:pt>
                <c:pt idx="27">
                  <c:v>4.2900000000000004E-3</c:v>
                </c:pt>
                <c:pt idx="28">
                  <c:v>4.2300000000000003E-3</c:v>
                </c:pt>
                <c:pt idx="29">
                  <c:v>4.1999999999999997E-3</c:v>
                </c:pt>
                <c:pt idx="30">
                  <c:v>4.2100000000000002E-3</c:v>
                </c:pt>
                <c:pt idx="31">
                  <c:v>4.0000000000000001E-3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70-45DF-9CC4-7E8F0998B280}"/>
            </c:ext>
          </c:extLst>
        </c:ser>
        <c:ser>
          <c:idx val="1"/>
          <c:order val="1"/>
          <c:tx>
            <c:strRef>
              <c:f>Fit!$G$2</c:f>
              <c:strCache>
                <c:ptCount val="1"/>
                <c:pt idx="0">
                  <c:v>With MEV</c:v>
                </c:pt>
              </c:strCache>
            </c:strRef>
          </c:tx>
          <c:spPr>
            <a:ln w="190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Fit!$B$3:$B$34</c:f>
              <c:strCache>
                <c:ptCount val="32"/>
                <c:pt idx="0">
                  <c:v>2009Q3</c:v>
                </c:pt>
                <c:pt idx="1">
                  <c:v>2009Q4</c:v>
                </c:pt>
                <c:pt idx="2">
                  <c:v>2010Q1</c:v>
                </c:pt>
                <c:pt idx="3">
                  <c:v>2010Q2</c:v>
                </c:pt>
                <c:pt idx="4">
                  <c:v>2010Q3</c:v>
                </c:pt>
                <c:pt idx="5">
                  <c:v>2010Q4</c:v>
                </c:pt>
                <c:pt idx="6">
                  <c:v>2011Q1</c:v>
                </c:pt>
                <c:pt idx="7">
                  <c:v>2011Q2</c:v>
                </c:pt>
                <c:pt idx="8">
                  <c:v>2011Q3</c:v>
                </c:pt>
                <c:pt idx="9">
                  <c:v>2011Q4</c:v>
                </c:pt>
                <c:pt idx="10">
                  <c:v>2012Q1</c:v>
                </c:pt>
                <c:pt idx="11">
                  <c:v>2012Q2</c:v>
                </c:pt>
                <c:pt idx="12">
                  <c:v>2012Q3</c:v>
                </c:pt>
                <c:pt idx="13">
                  <c:v>2012Q4</c:v>
                </c:pt>
                <c:pt idx="14">
                  <c:v>2013Q1</c:v>
                </c:pt>
                <c:pt idx="15">
                  <c:v>2013Q2</c:v>
                </c:pt>
                <c:pt idx="16">
                  <c:v>2013Q3</c:v>
                </c:pt>
                <c:pt idx="17">
                  <c:v>2013Q4</c:v>
                </c:pt>
                <c:pt idx="18">
                  <c:v>2014Q1</c:v>
                </c:pt>
                <c:pt idx="19">
                  <c:v>2014Q2</c:v>
                </c:pt>
                <c:pt idx="20">
                  <c:v>2014Q3</c:v>
                </c:pt>
                <c:pt idx="21">
                  <c:v>2014Q4</c:v>
                </c:pt>
                <c:pt idx="22">
                  <c:v>2015Q1</c:v>
                </c:pt>
                <c:pt idx="23">
                  <c:v>2015Q2</c:v>
                </c:pt>
                <c:pt idx="24">
                  <c:v>2015Q3</c:v>
                </c:pt>
                <c:pt idx="25">
                  <c:v>2015Q4</c:v>
                </c:pt>
                <c:pt idx="26">
                  <c:v>2016Q1</c:v>
                </c:pt>
                <c:pt idx="27">
                  <c:v>2016Q2</c:v>
                </c:pt>
                <c:pt idx="28">
                  <c:v>2016Q3</c:v>
                </c:pt>
                <c:pt idx="29">
                  <c:v>2016Q4</c:v>
                </c:pt>
                <c:pt idx="30">
                  <c:v>2017Q1</c:v>
                </c:pt>
                <c:pt idx="31">
                  <c:v>2017Q2</c:v>
                </c:pt>
              </c:strCache>
            </c:strRef>
          </c:cat>
          <c:val>
            <c:numRef>
              <c:f>Fit!$G$3:$G$34</c:f>
              <c:numCache>
                <c:formatCode>0.00%</c:formatCode>
                <c:ptCount val="32"/>
                <c:pt idx="0">
                  <c:v>6.8799999999999998E-3</c:v>
                </c:pt>
                <c:pt idx="1">
                  <c:v>7.0699999999999999E-3</c:v>
                </c:pt>
                <c:pt idx="2">
                  <c:v>7.0899999999999999E-3</c:v>
                </c:pt>
                <c:pt idx="3">
                  <c:v>6.6100000000000004E-3</c:v>
                </c:pt>
                <c:pt idx="4">
                  <c:v>5.7600000000000004E-3</c:v>
                </c:pt>
                <c:pt idx="5">
                  <c:v>5.4000000000000003E-3</c:v>
                </c:pt>
                <c:pt idx="6">
                  <c:v>5.0400000000000002E-3</c:v>
                </c:pt>
                <c:pt idx="7">
                  <c:v>4.7400000000000003E-3</c:v>
                </c:pt>
                <c:pt idx="8">
                  <c:v>4.7200000000000002E-3</c:v>
                </c:pt>
                <c:pt idx="9">
                  <c:v>4.9300000000000004E-3</c:v>
                </c:pt>
                <c:pt idx="10">
                  <c:v>4.7699999999999999E-3</c:v>
                </c:pt>
                <c:pt idx="11">
                  <c:v>4.5799999999999999E-3</c:v>
                </c:pt>
                <c:pt idx="12">
                  <c:v>4.2399999999999998E-3</c:v>
                </c:pt>
                <c:pt idx="13">
                  <c:v>4.1700000000000001E-3</c:v>
                </c:pt>
                <c:pt idx="14">
                  <c:v>4.1999999999999997E-3</c:v>
                </c:pt>
                <c:pt idx="15">
                  <c:v>4.0000000000000001E-3</c:v>
                </c:pt>
                <c:pt idx="16">
                  <c:v>3.98E-3</c:v>
                </c:pt>
                <c:pt idx="17">
                  <c:v>4.0099999999999997E-3</c:v>
                </c:pt>
                <c:pt idx="18">
                  <c:v>4.0000000000000001E-3</c:v>
                </c:pt>
                <c:pt idx="19">
                  <c:v>3.8700000000000002E-3</c:v>
                </c:pt>
                <c:pt idx="20">
                  <c:v>3.7799999999999999E-3</c:v>
                </c:pt>
                <c:pt idx="21">
                  <c:v>3.5100000000000001E-3</c:v>
                </c:pt>
                <c:pt idx="22">
                  <c:v>3.5100000000000001E-3</c:v>
                </c:pt>
                <c:pt idx="23">
                  <c:v>3.64E-3</c:v>
                </c:pt>
                <c:pt idx="24">
                  <c:v>4.0499999999999998E-3</c:v>
                </c:pt>
                <c:pt idx="25">
                  <c:v>4.5799999999999999E-3</c:v>
                </c:pt>
                <c:pt idx="26">
                  <c:v>4.5599999999999998E-3</c:v>
                </c:pt>
                <c:pt idx="27">
                  <c:v>4.5500000000000002E-3</c:v>
                </c:pt>
                <c:pt idx="28">
                  <c:v>4.45E-3</c:v>
                </c:pt>
                <c:pt idx="29">
                  <c:v>4.4999999999999997E-3</c:v>
                </c:pt>
                <c:pt idx="30">
                  <c:v>4.7699999999999999E-3</c:v>
                </c:pt>
                <c:pt idx="31">
                  <c:v>4.5500000000000002E-3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70-45DF-9CC4-7E8F0998B280}"/>
            </c:ext>
          </c:extLst>
        </c:ser>
        <c:ser>
          <c:idx val="2"/>
          <c:order val="2"/>
          <c:tx>
            <c:strRef>
              <c:f>Fit!$F$2</c:f>
              <c:strCache>
                <c:ptCount val="1"/>
                <c:pt idx="0">
                  <c:v>ODR</c:v>
                </c:pt>
              </c:strCache>
            </c:strRef>
          </c:tx>
          <c:spPr>
            <a:ln w="19050">
              <a:prstDash val="dash"/>
            </a:ln>
          </c:spPr>
          <c:marker>
            <c:symbol val="none"/>
          </c:marker>
          <c:cat>
            <c:strRef>
              <c:f>Fit!$B$3:$B$34</c:f>
              <c:strCache>
                <c:ptCount val="32"/>
                <c:pt idx="0">
                  <c:v>2009Q3</c:v>
                </c:pt>
                <c:pt idx="1">
                  <c:v>2009Q4</c:v>
                </c:pt>
                <c:pt idx="2">
                  <c:v>2010Q1</c:v>
                </c:pt>
                <c:pt idx="3">
                  <c:v>2010Q2</c:v>
                </c:pt>
                <c:pt idx="4">
                  <c:v>2010Q3</c:v>
                </c:pt>
                <c:pt idx="5">
                  <c:v>2010Q4</c:v>
                </c:pt>
                <c:pt idx="6">
                  <c:v>2011Q1</c:v>
                </c:pt>
                <c:pt idx="7">
                  <c:v>2011Q2</c:v>
                </c:pt>
                <c:pt idx="8">
                  <c:v>2011Q3</c:v>
                </c:pt>
                <c:pt idx="9">
                  <c:v>2011Q4</c:v>
                </c:pt>
                <c:pt idx="10">
                  <c:v>2012Q1</c:v>
                </c:pt>
                <c:pt idx="11">
                  <c:v>2012Q2</c:v>
                </c:pt>
                <c:pt idx="12">
                  <c:v>2012Q3</c:v>
                </c:pt>
                <c:pt idx="13">
                  <c:v>2012Q4</c:v>
                </c:pt>
                <c:pt idx="14">
                  <c:v>2013Q1</c:v>
                </c:pt>
                <c:pt idx="15">
                  <c:v>2013Q2</c:v>
                </c:pt>
                <c:pt idx="16">
                  <c:v>2013Q3</c:v>
                </c:pt>
                <c:pt idx="17">
                  <c:v>2013Q4</c:v>
                </c:pt>
                <c:pt idx="18">
                  <c:v>2014Q1</c:v>
                </c:pt>
                <c:pt idx="19">
                  <c:v>2014Q2</c:v>
                </c:pt>
                <c:pt idx="20">
                  <c:v>2014Q3</c:v>
                </c:pt>
                <c:pt idx="21">
                  <c:v>2014Q4</c:v>
                </c:pt>
                <c:pt idx="22">
                  <c:v>2015Q1</c:v>
                </c:pt>
                <c:pt idx="23">
                  <c:v>2015Q2</c:v>
                </c:pt>
                <c:pt idx="24">
                  <c:v>2015Q3</c:v>
                </c:pt>
                <c:pt idx="25">
                  <c:v>2015Q4</c:v>
                </c:pt>
                <c:pt idx="26">
                  <c:v>2016Q1</c:v>
                </c:pt>
                <c:pt idx="27">
                  <c:v>2016Q2</c:v>
                </c:pt>
                <c:pt idx="28">
                  <c:v>2016Q3</c:v>
                </c:pt>
                <c:pt idx="29">
                  <c:v>2016Q4</c:v>
                </c:pt>
                <c:pt idx="30">
                  <c:v>2017Q1</c:v>
                </c:pt>
                <c:pt idx="31">
                  <c:v>2017Q2</c:v>
                </c:pt>
              </c:strCache>
            </c:strRef>
          </c:cat>
          <c:val>
            <c:numRef>
              <c:f>Fit!$F$3:$F$34</c:f>
              <c:numCache>
                <c:formatCode>0.00%</c:formatCode>
                <c:ptCount val="32"/>
                <c:pt idx="0">
                  <c:v>6.5329999999999997E-3</c:v>
                </c:pt>
                <c:pt idx="1">
                  <c:v>6.8989999999999998E-3</c:v>
                </c:pt>
                <c:pt idx="2">
                  <c:v>7.0860000000000003E-3</c:v>
                </c:pt>
                <c:pt idx="3">
                  <c:v>7.0080000000000003E-3</c:v>
                </c:pt>
                <c:pt idx="4">
                  <c:v>6.1539999999999997E-3</c:v>
                </c:pt>
                <c:pt idx="5">
                  <c:v>6.1269999999999996E-3</c:v>
                </c:pt>
                <c:pt idx="6">
                  <c:v>6.3169999999999997E-3</c:v>
                </c:pt>
                <c:pt idx="7">
                  <c:v>5.5620000000000001E-3</c:v>
                </c:pt>
                <c:pt idx="8">
                  <c:v>4.4270000000000004E-3</c:v>
                </c:pt>
                <c:pt idx="9">
                  <c:v>4.718E-3</c:v>
                </c:pt>
                <c:pt idx="10">
                  <c:v>4.8929999999999998E-3</c:v>
                </c:pt>
                <c:pt idx="11">
                  <c:v>4.3800000000000002E-3</c:v>
                </c:pt>
                <c:pt idx="12">
                  <c:v>4.0159999999999996E-3</c:v>
                </c:pt>
                <c:pt idx="13">
                  <c:v>4.084E-3</c:v>
                </c:pt>
                <c:pt idx="14">
                  <c:v>3.9249999999999997E-3</c:v>
                </c:pt>
                <c:pt idx="15">
                  <c:v>3.5409999999999999E-3</c:v>
                </c:pt>
                <c:pt idx="16">
                  <c:v>3.7659999999999998E-3</c:v>
                </c:pt>
                <c:pt idx="17">
                  <c:v>3.2330000000000002E-3</c:v>
                </c:pt>
                <c:pt idx="18">
                  <c:v>3.6640000000000002E-3</c:v>
                </c:pt>
                <c:pt idx="19">
                  <c:v>3.454E-3</c:v>
                </c:pt>
                <c:pt idx="20">
                  <c:v>3.7309999999999999E-3</c:v>
                </c:pt>
                <c:pt idx="21">
                  <c:v>3.6089999999999998E-3</c:v>
                </c:pt>
                <c:pt idx="22">
                  <c:v>4.202E-3</c:v>
                </c:pt>
                <c:pt idx="23">
                  <c:v>4.0980000000000001E-3</c:v>
                </c:pt>
                <c:pt idx="24">
                  <c:v>3.7399999999999998E-3</c:v>
                </c:pt>
                <c:pt idx="25">
                  <c:v>3.823E-3</c:v>
                </c:pt>
                <c:pt idx="26">
                  <c:v>4.3949999999999996E-3</c:v>
                </c:pt>
                <c:pt idx="27">
                  <c:v>3.7460000000000002E-3</c:v>
                </c:pt>
                <c:pt idx="28">
                  <c:v>3.9389999999999998E-3</c:v>
                </c:pt>
                <c:pt idx="29">
                  <c:v>3.555E-3</c:v>
                </c:pt>
                <c:pt idx="30">
                  <c:v>4.3109999999999997E-3</c:v>
                </c:pt>
                <c:pt idx="31">
                  <c:v>4.3509999999999998E-3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70-45DF-9CC4-7E8F0998B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9512576"/>
        <c:axId val="319555072"/>
      </c:lineChart>
      <c:catAx>
        <c:axId val="3195125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19555072"/>
        <c:crosses val="autoZero"/>
        <c:auto val="1"/>
        <c:lblAlgn val="ctr"/>
        <c:lblOffset val="100"/>
        <c:noMultiLvlLbl val="0"/>
      </c:catAx>
      <c:valAx>
        <c:axId val="319555072"/>
        <c:scaling>
          <c:orientation val="minMax"/>
          <c:max val="8.0000000000000123E-3"/>
          <c:min val="3.0000000000000027E-3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31951257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900">
          <a:latin typeface="+mn-lt"/>
        </a:defRPr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GB" sz="1100" b="1" i="0" baseline="0">
                <a:effectLst/>
              </a:rPr>
              <a:t>Model option with ODR lag weight of 0.6</a:t>
            </a:r>
            <a:endParaRPr lang="en-GB" sz="1100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7628139075208195E-2"/>
          <c:y val="0.11481293921642526"/>
          <c:w val="0.88684294158118493"/>
          <c:h val="0.66100341041357358"/>
        </c:manualLayout>
      </c:layout>
      <c:lineChart>
        <c:grouping val="standard"/>
        <c:varyColors val="0"/>
        <c:ser>
          <c:idx val="0"/>
          <c:order val="0"/>
          <c:tx>
            <c:strRef>
              <c:f>Fit!$J$2</c:f>
              <c:strCache>
                <c:ptCount val="1"/>
                <c:pt idx="0">
                  <c:v>Naïve Model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strRef>
              <c:f>Fit!$B$3:$B$34</c:f>
              <c:strCache>
                <c:ptCount val="32"/>
                <c:pt idx="0">
                  <c:v>2009Q3</c:v>
                </c:pt>
                <c:pt idx="1">
                  <c:v>2009Q4</c:v>
                </c:pt>
                <c:pt idx="2">
                  <c:v>2010Q1</c:v>
                </c:pt>
                <c:pt idx="3">
                  <c:v>2010Q2</c:v>
                </c:pt>
                <c:pt idx="4">
                  <c:v>2010Q3</c:v>
                </c:pt>
                <c:pt idx="5">
                  <c:v>2010Q4</c:v>
                </c:pt>
                <c:pt idx="6">
                  <c:v>2011Q1</c:v>
                </c:pt>
                <c:pt idx="7">
                  <c:v>2011Q2</c:v>
                </c:pt>
                <c:pt idx="8">
                  <c:v>2011Q3</c:v>
                </c:pt>
                <c:pt idx="9">
                  <c:v>2011Q4</c:v>
                </c:pt>
                <c:pt idx="10">
                  <c:v>2012Q1</c:v>
                </c:pt>
                <c:pt idx="11">
                  <c:v>2012Q2</c:v>
                </c:pt>
                <c:pt idx="12">
                  <c:v>2012Q3</c:v>
                </c:pt>
                <c:pt idx="13">
                  <c:v>2012Q4</c:v>
                </c:pt>
                <c:pt idx="14">
                  <c:v>2013Q1</c:v>
                </c:pt>
                <c:pt idx="15">
                  <c:v>2013Q2</c:v>
                </c:pt>
                <c:pt idx="16">
                  <c:v>2013Q3</c:v>
                </c:pt>
                <c:pt idx="17">
                  <c:v>2013Q4</c:v>
                </c:pt>
                <c:pt idx="18">
                  <c:v>2014Q1</c:v>
                </c:pt>
                <c:pt idx="19">
                  <c:v>2014Q2</c:v>
                </c:pt>
                <c:pt idx="20">
                  <c:v>2014Q3</c:v>
                </c:pt>
                <c:pt idx="21">
                  <c:v>2014Q4</c:v>
                </c:pt>
                <c:pt idx="22">
                  <c:v>2015Q1</c:v>
                </c:pt>
                <c:pt idx="23">
                  <c:v>2015Q2</c:v>
                </c:pt>
                <c:pt idx="24">
                  <c:v>2015Q3</c:v>
                </c:pt>
                <c:pt idx="25">
                  <c:v>2015Q4</c:v>
                </c:pt>
                <c:pt idx="26">
                  <c:v>2016Q1</c:v>
                </c:pt>
                <c:pt idx="27">
                  <c:v>2016Q2</c:v>
                </c:pt>
                <c:pt idx="28">
                  <c:v>2016Q3</c:v>
                </c:pt>
                <c:pt idx="29">
                  <c:v>2016Q4</c:v>
                </c:pt>
                <c:pt idx="30">
                  <c:v>2017Q1</c:v>
                </c:pt>
                <c:pt idx="31">
                  <c:v>2017Q2</c:v>
                </c:pt>
              </c:strCache>
            </c:strRef>
          </c:cat>
          <c:val>
            <c:numRef>
              <c:f>Fit!$J$3:$J$34</c:f>
              <c:numCache>
                <c:formatCode>0.00%</c:formatCode>
                <c:ptCount val="32"/>
                <c:pt idx="0">
                  <c:v>6.3099999999999996E-3</c:v>
                </c:pt>
                <c:pt idx="1">
                  <c:v>6.28E-3</c:v>
                </c:pt>
                <c:pt idx="2">
                  <c:v>6.2500000000000003E-3</c:v>
                </c:pt>
                <c:pt idx="3">
                  <c:v>5.8199999999999997E-3</c:v>
                </c:pt>
                <c:pt idx="4">
                  <c:v>5.3499999999999997E-3</c:v>
                </c:pt>
                <c:pt idx="5">
                  <c:v>5.3E-3</c:v>
                </c:pt>
                <c:pt idx="6">
                  <c:v>5.2500000000000003E-3</c:v>
                </c:pt>
                <c:pt idx="7">
                  <c:v>5.1700000000000001E-3</c:v>
                </c:pt>
                <c:pt idx="8">
                  <c:v>5.1399999999999996E-3</c:v>
                </c:pt>
                <c:pt idx="9">
                  <c:v>5.2500000000000003E-3</c:v>
                </c:pt>
                <c:pt idx="10">
                  <c:v>5.0899999999999999E-3</c:v>
                </c:pt>
                <c:pt idx="11">
                  <c:v>4.9399999999999999E-3</c:v>
                </c:pt>
                <c:pt idx="12">
                  <c:v>4.7299999999999998E-3</c:v>
                </c:pt>
                <c:pt idx="13">
                  <c:v>4.5900000000000003E-3</c:v>
                </c:pt>
                <c:pt idx="14">
                  <c:v>4.45E-3</c:v>
                </c:pt>
                <c:pt idx="15">
                  <c:v>4.15E-3</c:v>
                </c:pt>
                <c:pt idx="16">
                  <c:v>4.0400000000000002E-3</c:v>
                </c:pt>
                <c:pt idx="17">
                  <c:v>4.0800000000000003E-3</c:v>
                </c:pt>
                <c:pt idx="18">
                  <c:v>4.0299999999999997E-3</c:v>
                </c:pt>
                <c:pt idx="19">
                  <c:v>3.8899999999999998E-3</c:v>
                </c:pt>
                <c:pt idx="20">
                  <c:v>3.8899999999999998E-3</c:v>
                </c:pt>
                <c:pt idx="21">
                  <c:v>3.8300000000000001E-3</c:v>
                </c:pt>
                <c:pt idx="22">
                  <c:v>3.9100000000000003E-3</c:v>
                </c:pt>
                <c:pt idx="23">
                  <c:v>3.8999999999999998E-3</c:v>
                </c:pt>
                <c:pt idx="24">
                  <c:v>4.0200000000000001E-3</c:v>
                </c:pt>
                <c:pt idx="25">
                  <c:v>4.2700000000000004E-3</c:v>
                </c:pt>
                <c:pt idx="26">
                  <c:v>4.2599999999999999E-3</c:v>
                </c:pt>
                <c:pt idx="27">
                  <c:v>4.15E-3</c:v>
                </c:pt>
                <c:pt idx="28">
                  <c:v>4.0899999999999999E-3</c:v>
                </c:pt>
                <c:pt idx="29">
                  <c:v>4.0600000000000002E-3</c:v>
                </c:pt>
                <c:pt idx="30">
                  <c:v>4.0699999999999998E-3</c:v>
                </c:pt>
                <c:pt idx="31">
                  <c:v>3.8600000000000001E-3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E2-48A5-9F18-820A140D7029}"/>
            </c:ext>
          </c:extLst>
        </c:ser>
        <c:ser>
          <c:idx val="1"/>
          <c:order val="1"/>
          <c:tx>
            <c:strRef>
              <c:f>Fit!$I$2</c:f>
              <c:strCache>
                <c:ptCount val="1"/>
                <c:pt idx="0">
                  <c:v>With MEV</c:v>
                </c:pt>
              </c:strCache>
            </c:strRef>
          </c:tx>
          <c:spPr>
            <a:ln w="190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Fit!$B$3:$B$34</c:f>
              <c:strCache>
                <c:ptCount val="32"/>
                <c:pt idx="0">
                  <c:v>2009Q3</c:v>
                </c:pt>
                <c:pt idx="1">
                  <c:v>2009Q4</c:v>
                </c:pt>
                <c:pt idx="2">
                  <c:v>2010Q1</c:v>
                </c:pt>
                <c:pt idx="3">
                  <c:v>2010Q2</c:v>
                </c:pt>
                <c:pt idx="4">
                  <c:v>2010Q3</c:v>
                </c:pt>
                <c:pt idx="5">
                  <c:v>2010Q4</c:v>
                </c:pt>
                <c:pt idx="6">
                  <c:v>2011Q1</c:v>
                </c:pt>
                <c:pt idx="7">
                  <c:v>2011Q2</c:v>
                </c:pt>
                <c:pt idx="8">
                  <c:v>2011Q3</c:v>
                </c:pt>
                <c:pt idx="9">
                  <c:v>2011Q4</c:v>
                </c:pt>
                <c:pt idx="10">
                  <c:v>2012Q1</c:v>
                </c:pt>
                <c:pt idx="11">
                  <c:v>2012Q2</c:v>
                </c:pt>
                <c:pt idx="12">
                  <c:v>2012Q3</c:v>
                </c:pt>
                <c:pt idx="13">
                  <c:v>2012Q4</c:v>
                </c:pt>
                <c:pt idx="14">
                  <c:v>2013Q1</c:v>
                </c:pt>
                <c:pt idx="15">
                  <c:v>2013Q2</c:v>
                </c:pt>
                <c:pt idx="16">
                  <c:v>2013Q3</c:v>
                </c:pt>
                <c:pt idx="17">
                  <c:v>2013Q4</c:v>
                </c:pt>
                <c:pt idx="18">
                  <c:v>2014Q1</c:v>
                </c:pt>
                <c:pt idx="19">
                  <c:v>2014Q2</c:v>
                </c:pt>
                <c:pt idx="20">
                  <c:v>2014Q3</c:v>
                </c:pt>
                <c:pt idx="21">
                  <c:v>2014Q4</c:v>
                </c:pt>
                <c:pt idx="22">
                  <c:v>2015Q1</c:v>
                </c:pt>
                <c:pt idx="23">
                  <c:v>2015Q2</c:v>
                </c:pt>
                <c:pt idx="24">
                  <c:v>2015Q3</c:v>
                </c:pt>
                <c:pt idx="25">
                  <c:v>2015Q4</c:v>
                </c:pt>
                <c:pt idx="26">
                  <c:v>2016Q1</c:v>
                </c:pt>
                <c:pt idx="27">
                  <c:v>2016Q2</c:v>
                </c:pt>
                <c:pt idx="28">
                  <c:v>2016Q3</c:v>
                </c:pt>
                <c:pt idx="29">
                  <c:v>2016Q4</c:v>
                </c:pt>
                <c:pt idx="30">
                  <c:v>2017Q1</c:v>
                </c:pt>
                <c:pt idx="31">
                  <c:v>2017Q2</c:v>
                </c:pt>
              </c:strCache>
            </c:strRef>
          </c:cat>
          <c:val>
            <c:numRef>
              <c:f>Fit!$I$3:$I$34</c:f>
              <c:numCache>
                <c:formatCode>0.00%</c:formatCode>
                <c:ptCount val="32"/>
                <c:pt idx="0">
                  <c:v>6.8500000000000002E-3</c:v>
                </c:pt>
                <c:pt idx="1">
                  <c:v>7.0099999999999997E-3</c:v>
                </c:pt>
                <c:pt idx="2">
                  <c:v>7.1500000000000001E-3</c:v>
                </c:pt>
                <c:pt idx="3">
                  <c:v>6.6800000000000002E-3</c:v>
                </c:pt>
                <c:pt idx="4">
                  <c:v>5.7999999999999996E-3</c:v>
                </c:pt>
                <c:pt idx="5">
                  <c:v>5.45E-3</c:v>
                </c:pt>
                <c:pt idx="6">
                  <c:v>5.1200000000000004E-3</c:v>
                </c:pt>
                <c:pt idx="7">
                  <c:v>4.8399999999999997E-3</c:v>
                </c:pt>
                <c:pt idx="8">
                  <c:v>4.8300000000000001E-3</c:v>
                </c:pt>
                <c:pt idx="9">
                  <c:v>5.0699999999999999E-3</c:v>
                </c:pt>
                <c:pt idx="10">
                  <c:v>4.8999999999999998E-3</c:v>
                </c:pt>
                <c:pt idx="11">
                  <c:v>4.6800000000000001E-3</c:v>
                </c:pt>
                <c:pt idx="12">
                  <c:v>4.3E-3</c:v>
                </c:pt>
                <c:pt idx="13">
                  <c:v>4.1900000000000001E-3</c:v>
                </c:pt>
                <c:pt idx="14">
                  <c:v>4.1799999999999997E-3</c:v>
                </c:pt>
                <c:pt idx="15">
                  <c:v>3.96E-3</c:v>
                </c:pt>
                <c:pt idx="16">
                  <c:v>3.9199999999999999E-3</c:v>
                </c:pt>
                <c:pt idx="17">
                  <c:v>3.9300000000000003E-3</c:v>
                </c:pt>
                <c:pt idx="18">
                  <c:v>3.9100000000000003E-3</c:v>
                </c:pt>
                <c:pt idx="19">
                  <c:v>3.79E-3</c:v>
                </c:pt>
                <c:pt idx="20">
                  <c:v>3.7399999999999998E-3</c:v>
                </c:pt>
                <c:pt idx="21">
                  <c:v>3.47E-3</c:v>
                </c:pt>
                <c:pt idx="22">
                  <c:v>3.47E-3</c:v>
                </c:pt>
                <c:pt idx="23">
                  <c:v>3.5799999999999998E-3</c:v>
                </c:pt>
                <c:pt idx="24">
                  <c:v>3.9399999999999999E-3</c:v>
                </c:pt>
                <c:pt idx="25">
                  <c:v>4.4299999999999999E-3</c:v>
                </c:pt>
                <c:pt idx="26">
                  <c:v>4.3600000000000002E-3</c:v>
                </c:pt>
                <c:pt idx="27">
                  <c:v>4.3200000000000001E-3</c:v>
                </c:pt>
                <c:pt idx="28">
                  <c:v>4.1999999999999997E-3</c:v>
                </c:pt>
                <c:pt idx="29">
                  <c:v>4.2500000000000003E-3</c:v>
                </c:pt>
                <c:pt idx="30">
                  <c:v>4.5500000000000002E-3</c:v>
                </c:pt>
                <c:pt idx="31">
                  <c:v>4.3299999999999996E-3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E2-48A5-9F18-820A140D7029}"/>
            </c:ext>
          </c:extLst>
        </c:ser>
        <c:ser>
          <c:idx val="2"/>
          <c:order val="2"/>
          <c:tx>
            <c:strRef>
              <c:f>Fit!$F$2</c:f>
              <c:strCache>
                <c:ptCount val="1"/>
                <c:pt idx="0">
                  <c:v>ODR</c:v>
                </c:pt>
              </c:strCache>
            </c:strRef>
          </c:tx>
          <c:spPr>
            <a:ln w="19050">
              <a:prstDash val="dash"/>
            </a:ln>
          </c:spPr>
          <c:marker>
            <c:symbol val="none"/>
          </c:marker>
          <c:cat>
            <c:strRef>
              <c:f>Fit!$B$3:$B$34</c:f>
              <c:strCache>
                <c:ptCount val="32"/>
                <c:pt idx="0">
                  <c:v>2009Q3</c:v>
                </c:pt>
                <c:pt idx="1">
                  <c:v>2009Q4</c:v>
                </c:pt>
                <c:pt idx="2">
                  <c:v>2010Q1</c:v>
                </c:pt>
                <c:pt idx="3">
                  <c:v>2010Q2</c:v>
                </c:pt>
                <c:pt idx="4">
                  <c:v>2010Q3</c:v>
                </c:pt>
                <c:pt idx="5">
                  <c:v>2010Q4</c:v>
                </c:pt>
                <c:pt idx="6">
                  <c:v>2011Q1</c:v>
                </c:pt>
                <c:pt idx="7">
                  <c:v>2011Q2</c:v>
                </c:pt>
                <c:pt idx="8">
                  <c:v>2011Q3</c:v>
                </c:pt>
                <c:pt idx="9">
                  <c:v>2011Q4</c:v>
                </c:pt>
                <c:pt idx="10">
                  <c:v>2012Q1</c:v>
                </c:pt>
                <c:pt idx="11">
                  <c:v>2012Q2</c:v>
                </c:pt>
                <c:pt idx="12">
                  <c:v>2012Q3</c:v>
                </c:pt>
                <c:pt idx="13">
                  <c:v>2012Q4</c:v>
                </c:pt>
                <c:pt idx="14">
                  <c:v>2013Q1</c:v>
                </c:pt>
                <c:pt idx="15">
                  <c:v>2013Q2</c:v>
                </c:pt>
                <c:pt idx="16">
                  <c:v>2013Q3</c:v>
                </c:pt>
                <c:pt idx="17">
                  <c:v>2013Q4</c:v>
                </c:pt>
                <c:pt idx="18">
                  <c:v>2014Q1</c:v>
                </c:pt>
                <c:pt idx="19">
                  <c:v>2014Q2</c:v>
                </c:pt>
                <c:pt idx="20">
                  <c:v>2014Q3</c:v>
                </c:pt>
                <c:pt idx="21">
                  <c:v>2014Q4</c:v>
                </c:pt>
                <c:pt idx="22">
                  <c:v>2015Q1</c:v>
                </c:pt>
                <c:pt idx="23">
                  <c:v>2015Q2</c:v>
                </c:pt>
                <c:pt idx="24">
                  <c:v>2015Q3</c:v>
                </c:pt>
                <c:pt idx="25">
                  <c:v>2015Q4</c:v>
                </c:pt>
                <c:pt idx="26">
                  <c:v>2016Q1</c:v>
                </c:pt>
                <c:pt idx="27">
                  <c:v>2016Q2</c:v>
                </c:pt>
                <c:pt idx="28">
                  <c:v>2016Q3</c:v>
                </c:pt>
                <c:pt idx="29">
                  <c:v>2016Q4</c:v>
                </c:pt>
                <c:pt idx="30">
                  <c:v>2017Q1</c:v>
                </c:pt>
                <c:pt idx="31">
                  <c:v>2017Q2</c:v>
                </c:pt>
              </c:strCache>
            </c:strRef>
          </c:cat>
          <c:val>
            <c:numRef>
              <c:f>Fit!$F$3:$F$34</c:f>
              <c:numCache>
                <c:formatCode>0.00%</c:formatCode>
                <c:ptCount val="32"/>
                <c:pt idx="0">
                  <c:v>6.5329999999999997E-3</c:v>
                </c:pt>
                <c:pt idx="1">
                  <c:v>6.8989999999999998E-3</c:v>
                </c:pt>
                <c:pt idx="2">
                  <c:v>7.0860000000000003E-3</c:v>
                </c:pt>
                <c:pt idx="3">
                  <c:v>7.0080000000000003E-3</c:v>
                </c:pt>
                <c:pt idx="4">
                  <c:v>6.1539999999999997E-3</c:v>
                </c:pt>
                <c:pt idx="5">
                  <c:v>6.1269999999999996E-3</c:v>
                </c:pt>
                <c:pt idx="6">
                  <c:v>6.3169999999999997E-3</c:v>
                </c:pt>
                <c:pt idx="7">
                  <c:v>5.5620000000000001E-3</c:v>
                </c:pt>
                <c:pt idx="8">
                  <c:v>4.4270000000000004E-3</c:v>
                </c:pt>
                <c:pt idx="9">
                  <c:v>4.718E-3</c:v>
                </c:pt>
                <c:pt idx="10">
                  <c:v>4.8929999999999998E-3</c:v>
                </c:pt>
                <c:pt idx="11">
                  <c:v>4.3800000000000002E-3</c:v>
                </c:pt>
                <c:pt idx="12">
                  <c:v>4.0159999999999996E-3</c:v>
                </c:pt>
                <c:pt idx="13">
                  <c:v>4.084E-3</c:v>
                </c:pt>
                <c:pt idx="14">
                  <c:v>3.9249999999999997E-3</c:v>
                </c:pt>
                <c:pt idx="15">
                  <c:v>3.5409999999999999E-3</c:v>
                </c:pt>
                <c:pt idx="16">
                  <c:v>3.7659999999999998E-3</c:v>
                </c:pt>
                <c:pt idx="17">
                  <c:v>3.2330000000000002E-3</c:v>
                </c:pt>
                <c:pt idx="18">
                  <c:v>3.6640000000000002E-3</c:v>
                </c:pt>
                <c:pt idx="19">
                  <c:v>3.454E-3</c:v>
                </c:pt>
                <c:pt idx="20">
                  <c:v>3.7309999999999999E-3</c:v>
                </c:pt>
                <c:pt idx="21">
                  <c:v>3.6089999999999998E-3</c:v>
                </c:pt>
                <c:pt idx="22">
                  <c:v>4.202E-3</c:v>
                </c:pt>
                <c:pt idx="23">
                  <c:v>4.0980000000000001E-3</c:v>
                </c:pt>
                <c:pt idx="24">
                  <c:v>3.7399999999999998E-3</c:v>
                </c:pt>
                <c:pt idx="25">
                  <c:v>3.823E-3</c:v>
                </c:pt>
                <c:pt idx="26">
                  <c:v>4.3949999999999996E-3</c:v>
                </c:pt>
                <c:pt idx="27">
                  <c:v>3.7460000000000002E-3</c:v>
                </c:pt>
                <c:pt idx="28">
                  <c:v>3.9389999999999998E-3</c:v>
                </c:pt>
                <c:pt idx="29">
                  <c:v>3.555E-3</c:v>
                </c:pt>
                <c:pt idx="30">
                  <c:v>4.3109999999999997E-3</c:v>
                </c:pt>
                <c:pt idx="31">
                  <c:v>4.3509999999999998E-3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E2-48A5-9F18-820A140D7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4129536"/>
        <c:axId val="324131072"/>
      </c:lineChart>
      <c:catAx>
        <c:axId val="3241295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4131072"/>
        <c:crosses val="autoZero"/>
        <c:auto val="1"/>
        <c:lblAlgn val="ctr"/>
        <c:lblOffset val="100"/>
        <c:noMultiLvlLbl val="0"/>
      </c:catAx>
      <c:valAx>
        <c:axId val="324131072"/>
        <c:scaling>
          <c:orientation val="minMax"/>
          <c:max val="8.0000000000000158E-3"/>
          <c:min val="3.000000000000004E-3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32412953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900">
          <a:latin typeface="+mn-lt"/>
        </a:defRPr>
      </a:pPr>
      <a:endParaRPr lang="en-US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Model option with ODR lag weight of 0.7</a:t>
            </a:r>
          </a:p>
        </c:rich>
      </c:tx>
      <c:layout>
        <c:manualLayout>
          <c:xMode val="edge"/>
          <c:yMode val="edge"/>
          <c:x val="0.36028787641939475"/>
          <c:y val="6.411031426318954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7628139075208195E-2"/>
          <c:y val="4.4310171198388856E-2"/>
          <c:w val="0.88247332325071637"/>
          <c:h val="0.74588110321789358"/>
        </c:manualLayout>
      </c:layout>
      <c:lineChart>
        <c:grouping val="standard"/>
        <c:varyColors val="0"/>
        <c:ser>
          <c:idx val="0"/>
          <c:order val="0"/>
          <c:tx>
            <c:strRef>
              <c:f>Fit!$L$2</c:f>
              <c:strCache>
                <c:ptCount val="1"/>
                <c:pt idx="0">
                  <c:v>Naïve Model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strRef>
              <c:f>Fit!$B$3:$B$34</c:f>
              <c:strCache>
                <c:ptCount val="32"/>
                <c:pt idx="0">
                  <c:v>2009Q3</c:v>
                </c:pt>
                <c:pt idx="1">
                  <c:v>2009Q4</c:v>
                </c:pt>
                <c:pt idx="2">
                  <c:v>2010Q1</c:v>
                </c:pt>
                <c:pt idx="3">
                  <c:v>2010Q2</c:v>
                </c:pt>
                <c:pt idx="4">
                  <c:v>2010Q3</c:v>
                </c:pt>
                <c:pt idx="5">
                  <c:v>2010Q4</c:v>
                </c:pt>
                <c:pt idx="6">
                  <c:v>2011Q1</c:v>
                </c:pt>
                <c:pt idx="7">
                  <c:v>2011Q2</c:v>
                </c:pt>
                <c:pt idx="8">
                  <c:v>2011Q3</c:v>
                </c:pt>
                <c:pt idx="9">
                  <c:v>2011Q4</c:v>
                </c:pt>
                <c:pt idx="10">
                  <c:v>2012Q1</c:v>
                </c:pt>
                <c:pt idx="11">
                  <c:v>2012Q2</c:v>
                </c:pt>
                <c:pt idx="12">
                  <c:v>2012Q3</c:v>
                </c:pt>
                <c:pt idx="13">
                  <c:v>2012Q4</c:v>
                </c:pt>
                <c:pt idx="14">
                  <c:v>2013Q1</c:v>
                </c:pt>
                <c:pt idx="15">
                  <c:v>2013Q2</c:v>
                </c:pt>
                <c:pt idx="16">
                  <c:v>2013Q3</c:v>
                </c:pt>
                <c:pt idx="17">
                  <c:v>2013Q4</c:v>
                </c:pt>
                <c:pt idx="18">
                  <c:v>2014Q1</c:v>
                </c:pt>
                <c:pt idx="19">
                  <c:v>2014Q2</c:v>
                </c:pt>
                <c:pt idx="20">
                  <c:v>2014Q3</c:v>
                </c:pt>
                <c:pt idx="21">
                  <c:v>2014Q4</c:v>
                </c:pt>
                <c:pt idx="22">
                  <c:v>2015Q1</c:v>
                </c:pt>
                <c:pt idx="23">
                  <c:v>2015Q2</c:v>
                </c:pt>
                <c:pt idx="24">
                  <c:v>2015Q3</c:v>
                </c:pt>
                <c:pt idx="25">
                  <c:v>2015Q4</c:v>
                </c:pt>
                <c:pt idx="26">
                  <c:v>2016Q1</c:v>
                </c:pt>
                <c:pt idx="27">
                  <c:v>2016Q2</c:v>
                </c:pt>
                <c:pt idx="28">
                  <c:v>2016Q3</c:v>
                </c:pt>
                <c:pt idx="29">
                  <c:v>2016Q4</c:v>
                </c:pt>
                <c:pt idx="30">
                  <c:v>2017Q1</c:v>
                </c:pt>
                <c:pt idx="31">
                  <c:v>2017Q2</c:v>
                </c:pt>
              </c:strCache>
            </c:strRef>
          </c:cat>
          <c:val>
            <c:numRef>
              <c:f>Fit!$L$3:$L$34</c:f>
              <c:numCache>
                <c:formatCode>0.00%</c:formatCode>
                <c:ptCount val="32"/>
                <c:pt idx="0">
                  <c:v>6.4099999999999999E-3</c:v>
                </c:pt>
                <c:pt idx="1">
                  <c:v>6.3899999999999998E-3</c:v>
                </c:pt>
                <c:pt idx="2">
                  <c:v>6.3600000000000002E-3</c:v>
                </c:pt>
                <c:pt idx="3">
                  <c:v>5.9100000000000003E-3</c:v>
                </c:pt>
                <c:pt idx="4">
                  <c:v>5.4099999999999999E-3</c:v>
                </c:pt>
                <c:pt idx="5">
                  <c:v>5.3499999999999997E-3</c:v>
                </c:pt>
                <c:pt idx="6">
                  <c:v>5.2900000000000004E-3</c:v>
                </c:pt>
                <c:pt idx="7">
                  <c:v>5.2100000000000002E-3</c:v>
                </c:pt>
                <c:pt idx="8">
                  <c:v>5.1900000000000002E-3</c:v>
                </c:pt>
                <c:pt idx="9">
                  <c:v>5.28E-3</c:v>
                </c:pt>
                <c:pt idx="10">
                  <c:v>5.11E-3</c:v>
                </c:pt>
                <c:pt idx="11">
                  <c:v>4.9500000000000004E-3</c:v>
                </c:pt>
                <c:pt idx="12">
                  <c:v>4.7299999999999998E-3</c:v>
                </c:pt>
                <c:pt idx="13">
                  <c:v>4.5700000000000003E-3</c:v>
                </c:pt>
                <c:pt idx="14">
                  <c:v>4.4200000000000003E-3</c:v>
                </c:pt>
                <c:pt idx="15">
                  <c:v>4.1000000000000003E-3</c:v>
                </c:pt>
                <c:pt idx="16">
                  <c:v>4.0000000000000001E-3</c:v>
                </c:pt>
                <c:pt idx="17">
                  <c:v>4.0200000000000001E-3</c:v>
                </c:pt>
                <c:pt idx="18">
                  <c:v>3.9699999999999996E-3</c:v>
                </c:pt>
                <c:pt idx="19">
                  <c:v>3.82E-3</c:v>
                </c:pt>
                <c:pt idx="20">
                  <c:v>3.82E-3</c:v>
                </c:pt>
                <c:pt idx="21">
                  <c:v>3.7499999999999999E-3</c:v>
                </c:pt>
                <c:pt idx="22">
                  <c:v>3.8300000000000001E-3</c:v>
                </c:pt>
                <c:pt idx="23">
                  <c:v>3.81E-3</c:v>
                </c:pt>
                <c:pt idx="24">
                  <c:v>3.9399999999999999E-3</c:v>
                </c:pt>
                <c:pt idx="25">
                  <c:v>4.1799999999999997E-3</c:v>
                </c:pt>
                <c:pt idx="26">
                  <c:v>4.1799999999999997E-3</c:v>
                </c:pt>
                <c:pt idx="27">
                  <c:v>4.0800000000000003E-3</c:v>
                </c:pt>
                <c:pt idx="28">
                  <c:v>4.0200000000000001E-3</c:v>
                </c:pt>
                <c:pt idx="29">
                  <c:v>3.9899999999999996E-3</c:v>
                </c:pt>
                <c:pt idx="30">
                  <c:v>4.0000000000000001E-3</c:v>
                </c:pt>
                <c:pt idx="31">
                  <c:v>3.79E-3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11-48DA-99A0-4AD97D62CF77}"/>
            </c:ext>
          </c:extLst>
        </c:ser>
        <c:ser>
          <c:idx val="1"/>
          <c:order val="1"/>
          <c:tx>
            <c:strRef>
              <c:f>Fit!$K$2</c:f>
              <c:strCache>
                <c:ptCount val="1"/>
                <c:pt idx="0">
                  <c:v>With MEV</c:v>
                </c:pt>
              </c:strCache>
            </c:strRef>
          </c:tx>
          <c:spPr>
            <a:ln w="190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Fit!$B$3:$B$34</c:f>
              <c:strCache>
                <c:ptCount val="32"/>
                <c:pt idx="0">
                  <c:v>2009Q3</c:v>
                </c:pt>
                <c:pt idx="1">
                  <c:v>2009Q4</c:v>
                </c:pt>
                <c:pt idx="2">
                  <c:v>2010Q1</c:v>
                </c:pt>
                <c:pt idx="3">
                  <c:v>2010Q2</c:v>
                </c:pt>
                <c:pt idx="4">
                  <c:v>2010Q3</c:v>
                </c:pt>
                <c:pt idx="5">
                  <c:v>2010Q4</c:v>
                </c:pt>
                <c:pt idx="6">
                  <c:v>2011Q1</c:v>
                </c:pt>
                <c:pt idx="7">
                  <c:v>2011Q2</c:v>
                </c:pt>
                <c:pt idx="8">
                  <c:v>2011Q3</c:v>
                </c:pt>
                <c:pt idx="9">
                  <c:v>2011Q4</c:v>
                </c:pt>
                <c:pt idx="10">
                  <c:v>2012Q1</c:v>
                </c:pt>
                <c:pt idx="11">
                  <c:v>2012Q2</c:v>
                </c:pt>
                <c:pt idx="12">
                  <c:v>2012Q3</c:v>
                </c:pt>
                <c:pt idx="13">
                  <c:v>2012Q4</c:v>
                </c:pt>
                <c:pt idx="14">
                  <c:v>2013Q1</c:v>
                </c:pt>
                <c:pt idx="15">
                  <c:v>2013Q2</c:v>
                </c:pt>
                <c:pt idx="16">
                  <c:v>2013Q3</c:v>
                </c:pt>
                <c:pt idx="17">
                  <c:v>2013Q4</c:v>
                </c:pt>
                <c:pt idx="18">
                  <c:v>2014Q1</c:v>
                </c:pt>
                <c:pt idx="19">
                  <c:v>2014Q2</c:v>
                </c:pt>
                <c:pt idx="20">
                  <c:v>2014Q3</c:v>
                </c:pt>
                <c:pt idx="21">
                  <c:v>2014Q4</c:v>
                </c:pt>
                <c:pt idx="22">
                  <c:v>2015Q1</c:v>
                </c:pt>
                <c:pt idx="23">
                  <c:v>2015Q2</c:v>
                </c:pt>
                <c:pt idx="24">
                  <c:v>2015Q3</c:v>
                </c:pt>
                <c:pt idx="25">
                  <c:v>2015Q4</c:v>
                </c:pt>
                <c:pt idx="26">
                  <c:v>2016Q1</c:v>
                </c:pt>
                <c:pt idx="27">
                  <c:v>2016Q2</c:v>
                </c:pt>
                <c:pt idx="28">
                  <c:v>2016Q3</c:v>
                </c:pt>
                <c:pt idx="29">
                  <c:v>2016Q4</c:v>
                </c:pt>
                <c:pt idx="30">
                  <c:v>2017Q1</c:v>
                </c:pt>
                <c:pt idx="31">
                  <c:v>2017Q2</c:v>
                </c:pt>
              </c:strCache>
            </c:strRef>
          </c:cat>
          <c:val>
            <c:numRef>
              <c:f>Fit!$K$3:$K$34</c:f>
              <c:numCache>
                <c:formatCode>0.00%</c:formatCode>
                <c:ptCount val="32"/>
                <c:pt idx="0">
                  <c:v>6.8399999999999997E-3</c:v>
                </c:pt>
                <c:pt idx="1">
                  <c:v>6.9800000000000001E-3</c:v>
                </c:pt>
                <c:pt idx="2">
                  <c:v>7.1799999999999998E-3</c:v>
                </c:pt>
                <c:pt idx="3">
                  <c:v>6.7099999999999998E-3</c:v>
                </c:pt>
                <c:pt idx="4">
                  <c:v>5.8199999999999997E-3</c:v>
                </c:pt>
                <c:pt idx="5">
                  <c:v>5.4799999999999996E-3</c:v>
                </c:pt>
                <c:pt idx="6">
                  <c:v>5.1599999999999997E-3</c:v>
                </c:pt>
                <c:pt idx="7">
                  <c:v>4.8900000000000002E-3</c:v>
                </c:pt>
                <c:pt idx="8">
                  <c:v>4.8900000000000002E-3</c:v>
                </c:pt>
                <c:pt idx="9">
                  <c:v>5.1399999999999996E-3</c:v>
                </c:pt>
                <c:pt idx="10">
                  <c:v>4.9699999999999996E-3</c:v>
                </c:pt>
                <c:pt idx="11">
                  <c:v>4.7299999999999998E-3</c:v>
                </c:pt>
                <c:pt idx="12">
                  <c:v>4.3200000000000001E-3</c:v>
                </c:pt>
                <c:pt idx="13">
                  <c:v>4.1999999999999997E-3</c:v>
                </c:pt>
                <c:pt idx="14">
                  <c:v>4.1700000000000001E-3</c:v>
                </c:pt>
                <c:pt idx="15">
                  <c:v>3.9399999999999999E-3</c:v>
                </c:pt>
                <c:pt idx="16">
                  <c:v>3.8899999999999998E-3</c:v>
                </c:pt>
                <c:pt idx="17">
                  <c:v>3.8800000000000002E-3</c:v>
                </c:pt>
                <c:pt idx="18">
                  <c:v>3.8600000000000001E-3</c:v>
                </c:pt>
                <c:pt idx="19">
                  <c:v>3.7499999999999999E-3</c:v>
                </c:pt>
                <c:pt idx="20">
                  <c:v>3.7200000000000002E-3</c:v>
                </c:pt>
                <c:pt idx="21">
                  <c:v>3.4499999999999999E-3</c:v>
                </c:pt>
                <c:pt idx="22">
                  <c:v>3.4499999999999999E-3</c:v>
                </c:pt>
                <c:pt idx="23">
                  <c:v>3.5400000000000002E-3</c:v>
                </c:pt>
                <c:pt idx="24">
                  <c:v>3.8899999999999998E-3</c:v>
                </c:pt>
                <c:pt idx="25">
                  <c:v>4.3600000000000002E-3</c:v>
                </c:pt>
                <c:pt idx="26">
                  <c:v>4.2599999999999999E-3</c:v>
                </c:pt>
                <c:pt idx="27">
                  <c:v>4.1999999999999997E-3</c:v>
                </c:pt>
                <c:pt idx="28">
                  <c:v>4.0899999999999999E-3</c:v>
                </c:pt>
                <c:pt idx="29">
                  <c:v>4.1399999999999996E-3</c:v>
                </c:pt>
                <c:pt idx="30">
                  <c:v>4.4400000000000004E-3</c:v>
                </c:pt>
                <c:pt idx="31">
                  <c:v>4.2300000000000003E-3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11-48DA-99A0-4AD97D62CF77}"/>
            </c:ext>
          </c:extLst>
        </c:ser>
        <c:ser>
          <c:idx val="2"/>
          <c:order val="2"/>
          <c:tx>
            <c:strRef>
              <c:f>Fit!$F$2</c:f>
              <c:strCache>
                <c:ptCount val="1"/>
                <c:pt idx="0">
                  <c:v>ODR</c:v>
                </c:pt>
              </c:strCache>
            </c:strRef>
          </c:tx>
          <c:spPr>
            <a:ln w="19050">
              <a:prstDash val="dash"/>
            </a:ln>
          </c:spPr>
          <c:marker>
            <c:symbol val="none"/>
          </c:marker>
          <c:cat>
            <c:strRef>
              <c:f>Fit!$B$3:$B$34</c:f>
              <c:strCache>
                <c:ptCount val="32"/>
                <c:pt idx="0">
                  <c:v>2009Q3</c:v>
                </c:pt>
                <c:pt idx="1">
                  <c:v>2009Q4</c:v>
                </c:pt>
                <c:pt idx="2">
                  <c:v>2010Q1</c:v>
                </c:pt>
                <c:pt idx="3">
                  <c:v>2010Q2</c:v>
                </c:pt>
                <c:pt idx="4">
                  <c:v>2010Q3</c:v>
                </c:pt>
                <c:pt idx="5">
                  <c:v>2010Q4</c:v>
                </c:pt>
                <c:pt idx="6">
                  <c:v>2011Q1</c:v>
                </c:pt>
                <c:pt idx="7">
                  <c:v>2011Q2</c:v>
                </c:pt>
                <c:pt idx="8">
                  <c:v>2011Q3</c:v>
                </c:pt>
                <c:pt idx="9">
                  <c:v>2011Q4</c:v>
                </c:pt>
                <c:pt idx="10">
                  <c:v>2012Q1</c:v>
                </c:pt>
                <c:pt idx="11">
                  <c:v>2012Q2</c:v>
                </c:pt>
                <c:pt idx="12">
                  <c:v>2012Q3</c:v>
                </c:pt>
                <c:pt idx="13">
                  <c:v>2012Q4</c:v>
                </c:pt>
                <c:pt idx="14">
                  <c:v>2013Q1</c:v>
                </c:pt>
                <c:pt idx="15">
                  <c:v>2013Q2</c:v>
                </c:pt>
                <c:pt idx="16">
                  <c:v>2013Q3</c:v>
                </c:pt>
                <c:pt idx="17">
                  <c:v>2013Q4</c:v>
                </c:pt>
                <c:pt idx="18">
                  <c:v>2014Q1</c:v>
                </c:pt>
                <c:pt idx="19">
                  <c:v>2014Q2</c:v>
                </c:pt>
                <c:pt idx="20">
                  <c:v>2014Q3</c:v>
                </c:pt>
                <c:pt idx="21">
                  <c:v>2014Q4</c:v>
                </c:pt>
                <c:pt idx="22">
                  <c:v>2015Q1</c:v>
                </c:pt>
                <c:pt idx="23">
                  <c:v>2015Q2</c:v>
                </c:pt>
                <c:pt idx="24">
                  <c:v>2015Q3</c:v>
                </c:pt>
                <c:pt idx="25">
                  <c:v>2015Q4</c:v>
                </c:pt>
                <c:pt idx="26">
                  <c:v>2016Q1</c:v>
                </c:pt>
                <c:pt idx="27">
                  <c:v>2016Q2</c:v>
                </c:pt>
                <c:pt idx="28">
                  <c:v>2016Q3</c:v>
                </c:pt>
                <c:pt idx="29">
                  <c:v>2016Q4</c:v>
                </c:pt>
                <c:pt idx="30">
                  <c:v>2017Q1</c:v>
                </c:pt>
                <c:pt idx="31">
                  <c:v>2017Q2</c:v>
                </c:pt>
              </c:strCache>
            </c:strRef>
          </c:cat>
          <c:val>
            <c:numRef>
              <c:f>Fit!$F$3:$F$34</c:f>
              <c:numCache>
                <c:formatCode>0.00%</c:formatCode>
                <c:ptCount val="32"/>
                <c:pt idx="0">
                  <c:v>6.5329999999999997E-3</c:v>
                </c:pt>
                <c:pt idx="1">
                  <c:v>6.8989999999999998E-3</c:v>
                </c:pt>
                <c:pt idx="2">
                  <c:v>7.0860000000000003E-3</c:v>
                </c:pt>
                <c:pt idx="3">
                  <c:v>7.0080000000000003E-3</c:v>
                </c:pt>
                <c:pt idx="4">
                  <c:v>6.1539999999999997E-3</c:v>
                </c:pt>
                <c:pt idx="5">
                  <c:v>6.1269999999999996E-3</c:v>
                </c:pt>
                <c:pt idx="6">
                  <c:v>6.3169999999999997E-3</c:v>
                </c:pt>
                <c:pt idx="7">
                  <c:v>5.5620000000000001E-3</c:v>
                </c:pt>
                <c:pt idx="8">
                  <c:v>4.4270000000000004E-3</c:v>
                </c:pt>
                <c:pt idx="9">
                  <c:v>4.718E-3</c:v>
                </c:pt>
                <c:pt idx="10">
                  <c:v>4.8929999999999998E-3</c:v>
                </c:pt>
                <c:pt idx="11">
                  <c:v>4.3800000000000002E-3</c:v>
                </c:pt>
                <c:pt idx="12">
                  <c:v>4.0159999999999996E-3</c:v>
                </c:pt>
                <c:pt idx="13">
                  <c:v>4.084E-3</c:v>
                </c:pt>
                <c:pt idx="14">
                  <c:v>3.9249999999999997E-3</c:v>
                </c:pt>
                <c:pt idx="15">
                  <c:v>3.5409999999999999E-3</c:v>
                </c:pt>
                <c:pt idx="16">
                  <c:v>3.7659999999999998E-3</c:v>
                </c:pt>
                <c:pt idx="17">
                  <c:v>3.2330000000000002E-3</c:v>
                </c:pt>
                <c:pt idx="18">
                  <c:v>3.6640000000000002E-3</c:v>
                </c:pt>
                <c:pt idx="19">
                  <c:v>3.454E-3</c:v>
                </c:pt>
                <c:pt idx="20">
                  <c:v>3.7309999999999999E-3</c:v>
                </c:pt>
                <c:pt idx="21">
                  <c:v>3.6089999999999998E-3</c:v>
                </c:pt>
                <c:pt idx="22">
                  <c:v>4.202E-3</c:v>
                </c:pt>
                <c:pt idx="23">
                  <c:v>4.0980000000000001E-3</c:v>
                </c:pt>
                <c:pt idx="24">
                  <c:v>3.7399999999999998E-3</c:v>
                </c:pt>
                <c:pt idx="25">
                  <c:v>3.823E-3</c:v>
                </c:pt>
                <c:pt idx="26">
                  <c:v>4.3949999999999996E-3</c:v>
                </c:pt>
                <c:pt idx="27">
                  <c:v>3.7460000000000002E-3</c:v>
                </c:pt>
                <c:pt idx="28">
                  <c:v>3.9389999999999998E-3</c:v>
                </c:pt>
                <c:pt idx="29">
                  <c:v>3.555E-3</c:v>
                </c:pt>
                <c:pt idx="30">
                  <c:v>4.3109999999999997E-3</c:v>
                </c:pt>
                <c:pt idx="31">
                  <c:v>4.3509999999999998E-3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11-48DA-99A0-4AD97D62C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406784"/>
        <c:axId val="358486400"/>
      </c:lineChart>
      <c:catAx>
        <c:axId val="3584067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58486400"/>
        <c:crosses val="autoZero"/>
        <c:auto val="1"/>
        <c:lblAlgn val="ctr"/>
        <c:lblOffset val="100"/>
        <c:noMultiLvlLbl val="0"/>
      </c:catAx>
      <c:valAx>
        <c:axId val="358486400"/>
        <c:scaling>
          <c:orientation val="minMax"/>
          <c:max val="8.0000000000000192E-3"/>
          <c:min val="3.0000000000000048E-3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3584067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900">
          <a:latin typeface="+mn-lt"/>
        </a:defRPr>
      </a:pPr>
      <a:endParaRPr lang="en-US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GB" sz="1200" b="1" i="0" u="none" strike="noStrike" baseline="0"/>
              <a:t>Model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6885389326336"/>
          <c:y val="0.12126166520851601"/>
          <c:w val="0.83903630172501309"/>
          <c:h val="0.61921697287839061"/>
        </c:manualLayout>
      </c:layout>
      <c:lineChart>
        <c:grouping val="standard"/>
        <c:varyColors val="0"/>
        <c:ser>
          <c:idx val="0"/>
          <c:order val="0"/>
          <c:tx>
            <c:strRef>
              <c:f>'PD indicative - R-sq t-test'!$D$10</c:f>
              <c:strCache>
                <c:ptCount val="1"/>
                <c:pt idx="0">
                  <c:v>Observed ODR</c:v>
                </c:pt>
              </c:strCache>
            </c:strRef>
          </c:tx>
          <c:marker>
            <c:symbol val="none"/>
          </c:marker>
          <c:cat>
            <c:strRef>
              <c:f>'PD indicative - R-sq t-test'!$B$11:$B$42</c:f>
              <c:strCache>
                <c:ptCount val="32"/>
                <c:pt idx="0">
                  <c:v>2009Q3</c:v>
                </c:pt>
                <c:pt idx="1">
                  <c:v>2009Q4</c:v>
                </c:pt>
                <c:pt idx="2">
                  <c:v>2010Q1</c:v>
                </c:pt>
                <c:pt idx="3">
                  <c:v>2010Q2</c:v>
                </c:pt>
                <c:pt idx="4">
                  <c:v>2010Q3</c:v>
                </c:pt>
                <c:pt idx="5">
                  <c:v>2010Q4</c:v>
                </c:pt>
                <c:pt idx="6">
                  <c:v>2011Q1</c:v>
                </c:pt>
                <c:pt idx="7">
                  <c:v>2011Q2</c:v>
                </c:pt>
                <c:pt idx="8">
                  <c:v>2011Q3</c:v>
                </c:pt>
                <c:pt idx="9">
                  <c:v>2011Q4</c:v>
                </c:pt>
                <c:pt idx="10">
                  <c:v>2012Q1</c:v>
                </c:pt>
                <c:pt idx="11">
                  <c:v>2012Q2</c:v>
                </c:pt>
                <c:pt idx="12">
                  <c:v>2012Q3</c:v>
                </c:pt>
                <c:pt idx="13">
                  <c:v>2012Q4</c:v>
                </c:pt>
                <c:pt idx="14">
                  <c:v>2013Q1</c:v>
                </c:pt>
                <c:pt idx="15">
                  <c:v>2013Q2</c:v>
                </c:pt>
                <c:pt idx="16">
                  <c:v>2013Q3</c:v>
                </c:pt>
                <c:pt idx="17">
                  <c:v>2013Q4</c:v>
                </c:pt>
                <c:pt idx="18">
                  <c:v>2014Q1</c:v>
                </c:pt>
                <c:pt idx="19">
                  <c:v>2014Q2</c:v>
                </c:pt>
                <c:pt idx="20">
                  <c:v>2014Q3</c:v>
                </c:pt>
                <c:pt idx="21">
                  <c:v>2014Q4</c:v>
                </c:pt>
                <c:pt idx="22">
                  <c:v>2015Q1</c:v>
                </c:pt>
                <c:pt idx="23">
                  <c:v>2015Q2</c:v>
                </c:pt>
                <c:pt idx="24">
                  <c:v>2015Q3</c:v>
                </c:pt>
                <c:pt idx="25">
                  <c:v>2015Q4</c:v>
                </c:pt>
                <c:pt idx="26">
                  <c:v>2016Q1</c:v>
                </c:pt>
                <c:pt idx="27">
                  <c:v>2016Q2</c:v>
                </c:pt>
                <c:pt idx="28">
                  <c:v>2016Q3</c:v>
                </c:pt>
                <c:pt idx="29">
                  <c:v>2016Q4</c:v>
                </c:pt>
                <c:pt idx="30">
                  <c:v>2017Q1</c:v>
                </c:pt>
                <c:pt idx="31">
                  <c:v>2017Q2</c:v>
                </c:pt>
              </c:strCache>
            </c:strRef>
          </c:cat>
          <c:val>
            <c:numRef>
              <c:f>'PD indicative - R-sq t-test'!$D$11:$D$42</c:f>
              <c:numCache>
                <c:formatCode>0.00%</c:formatCode>
                <c:ptCount val="32"/>
                <c:pt idx="0">
                  <c:v>6.5329999999999997E-3</c:v>
                </c:pt>
                <c:pt idx="1">
                  <c:v>6.8989999999999998E-3</c:v>
                </c:pt>
                <c:pt idx="2">
                  <c:v>7.0860000000000003E-3</c:v>
                </c:pt>
                <c:pt idx="3">
                  <c:v>7.0080000000000003E-3</c:v>
                </c:pt>
                <c:pt idx="4">
                  <c:v>6.1539999999999997E-3</c:v>
                </c:pt>
                <c:pt idx="5">
                  <c:v>6.1269999999999996E-3</c:v>
                </c:pt>
                <c:pt idx="6">
                  <c:v>6.3169999999999997E-3</c:v>
                </c:pt>
                <c:pt idx="7">
                  <c:v>5.5620000000000001E-3</c:v>
                </c:pt>
                <c:pt idx="8">
                  <c:v>4.4270000000000004E-3</c:v>
                </c:pt>
                <c:pt idx="9">
                  <c:v>4.718E-3</c:v>
                </c:pt>
                <c:pt idx="10">
                  <c:v>4.8929999999999998E-3</c:v>
                </c:pt>
                <c:pt idx="11">
                  <c:v>4.3800000000000002E-3</c:v>
                </c:pt>
                <c:pt idx="12">
                  <c:v>4.0159999999999996E-3</c:v>
                </c:pt>
                <c:pt idx="13">
                  <c:v>4.084E-3</c:v>
                </c:pt>
                <c:pt idx="14">
                  <c:v>3.9249999999999997E-3</c:v>
                </c:pt>
                <c:pt idx="15">
                  <c:v>3.5409999999999999E-3</c:v>
                </c:pt>
                <c:pt idx="16">
                  <c:v>3.7659999999999998E-3</c:v>
                </c:pt>
                <c:pt idx="17">
                  <c:v>3.2330000000000002E-3</c:v>
                </c:pt>
                <c:pt idx="18">
                  <c:v>3.6640000000000002E-3</c:v>
                </c:pt>
                <c:pt idx="19">
                  <c:v>3.454E-3</c:v>
                </c:pt>
                <c:pt idx="20">
                  <c:v>3.7309999999999999E-3</c:v>
                </c:pt>
                <c:pt idx="21">
                  <c:v>3.6089999999999998E-3</c:v>
                </c:pt>
                <c:pt idx="22">
                  <c:v>4.202E-3</c:v>
                </c:pt>
                <c:pt idx="23">
                  <c:v>4.0980000000000001E-3</c:v>
                </c:pt>
                <c:pt idx="24">
                  <c:v>3.7399999999999998E-3</c:v>
                </c:pt>
                <c:pt idx="25">
                  <c:v>3.823E-3</c:v>
                </c:pt>
                <c:pt idx="26">
                  <c:v>4.3949999999999996E-3</c:v>
                </c:pt>
                <c:pt idx="27">
                  <c:v>3.7460000000000002E-3</c:v>
                </c:pt>
                <c:pt idx="28">
                  <c:v>3.9389999999999998E-3</c:v>
                </c:pt>
                <c:pt idx="29">
                  <c:v>3.555E-3</c:v>
                </c:pt>
                <c:pt idx="30">
                  <c:v>4.3109999999999997E-3</c:v>
                </c:pt>
                <c:pt idx="31">
                  <c:v>4.3509999999999998E-3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29-4E1E-9434-EFAD38F6032F}"/>
            </c:ext>
          </c:extLst>
        </c:ser>
        <c:ser>
          <c:idx val="1"/>
          <c:order val="1"/>
          <c:tx>
            <c:strRef>
              <c:f>'PD indicative - R-sq t-test'!$E$10</c:f>
              <c:strCache>
                <c:ptCount val="1"/>
                <c:pt idx="0">
                  <c:v>Predicted FL PD</c:v>
                </c:pt>
              </c:strCache>
            </c:strRef>
          </c:tx>
          <c:marker>
            <c:symbol val="none"/>
          </c:marker>
          <c:cat>
            <c:strRef>
              <c:f>'PD indicative - R-sq t-test'!$B$11:$B$42</c:f>
              <c:strCache>
                <c:ptCount val="32"/>
                <c:pt idx="0">
                  <c:v>2009Q3</c:v>
                </c:pt>
                <c:pt idx="1">
                  <c:v>2009Q4</c:v>
                </c:pt>
                <c:pt idx="2">
                  <c:v>2010Q1</c:v>
                </c:pt>
                <c:pt idx="3">
                  <c:v>2010Q2</c:v>
                </c:pt>
                <c:pt idx="4">
                  <c:v>2010Q3</c:v>
                </c:pt>
                <c:pt idx="5">
                  <c:v>2010Q4</c:v>
                </c:pt>
                <c:pt idx="6">
                  <c:v>2011Q1</c:v>
                </c:pt>
                <c:pt idx="7">
                  <c:v>2011Q2</c:v>
                </c:pt>
                <c:pt idx="8">
                  <c:v>2011Q3</c:v>
                </c:pt>
                <c:pt idx="9">
                  <c:v>2011Q4</c:v>
                </c:pt>
                <c:pt idx="10">
                  <c:v>2012Q1</c:v>
                </c:pt>
                <c:pt idx="11">
                  <c:v>2012Q2</c:v>
                </c:pt>
                <c:pt idx="12">
                  <c:v>2012Q3</c:v>
                </c:pt>
                <c:pt idx="13">
                  <c:v>2012Q4</c:v>
                </c:pt>
                <c:pt idx="14">
                  <c:v>2013Q1</c:v>
                </c:pt>
                <c:pt idx="15">
                  <c:v>2013Q2</c:v>
                </c:pt>
                <c:pt idx="16">
                  <c:v>2013Q3</c:v>
                </c:pt>
                <c:pt idx="17">
                  <c:v>2013Q4</c:v>
                </c:pt>
                <c:pt idx="18">
                  <c:v>2014Q1</c:v>
                </c:pt>
                <c:pt idx="19">
                  <c:v>2014Q2</c:v>
                </c:pt>
                <c:pt idx="20">
                  <c:v>2014Q3</c:v>
                </c:pt>
                <c:pt idx="21">
                  <c:v>2014Q4</c:v>
                </c:pt>
                <c:pt idx="22">
                  <c:v>2015Q1</c:v>
                </c:pt>
                <c:pt idx="23">
                  <c:v>2015Q2</c:v>
                </c:pt>
                <c:pt idx="24">
                  <c:v>2015Q3</c:v>
                </c:pt>
                <c:pt idx="25">
                  <c:v>2015Q4</c:v>
                </c:pt>
                <c:pt idx="26">
                  <c:v>2016Q1</c:v>
                </c:pt>
                <c:pt idx="27">
                  <c:v>2016Q2</c:v>
                </c:pt>
                <c:pt idx="28">
                  <c:v>2016Q3</c:v>
                </c:pt>
                <c:pt idx="29">
                  <c:v>2016Q4</c:v>
                </c:pt>
                <c:pt idx="30">
                  <c:v>2017Q1</c:v>
                </c:pt>
                <c:pt idx="31">
                  <c:v>2017Q2</c:v>
                </c:pt>
              </c:strCache>
            </c:strRef>
          </c:cat>
          <c:val>
            <c:numRef>
              <c:f>'PD indicative - R-sq t-test'!$E$11:$E$42</c:f>
              <c:numCache>
                <c:formatCode>0.00%</c:formatCode>
                <c:ptCount val="32"/>
                <c:pt idx="0">
                  <c:v>6.8799999999999998E-3</c:v>
                </c:pt>
                <c:pt idx="1">
                  <c:v>7.0699999999999999E-3</c:v>
                </c:pt>
                <c:pt idx="2">
                  <c:v>7.0899999999999999E-3</c:v>
                </c:pt>
                <c:pt idx="3">
                  <c:v>6.6100000000000004E-3</c:v>
                </c:pt>
                <c:pt idx="4">
                  <c:v>5.7600000000000004E-3</c:v>
                </c:pt>
                <c:pt idx="5">
                  <c:v>5.4000000000000003E-3</c:v>
                </c:pt>
                <c:pt idx="6">
                  <c:v>5.0400000000000002E-3</c:v>
                </c:pt>
                <c:pt idx="7">
                  <c:v>4.7400000000000003E-3</c:v>
                </c:pt>
                <c:pt idx="8">
                  <c:v>4.7200000000000002E-3</c:v>
                </c:pt>
                <c:pt idx="9">
                  <c:v>4.9300000000000004E-3</c:v>
                </c:pt>
                <c:pt idx="10">
                  <c:v>4.7699999999999999E-3</c:v>
                </c:pt>
                <c:pt idx="11">
                  <c:v>4.5799999999999999E-3</c:v>
                </c:pt>
                <c:pt idx="12">
                  <c:v>4.2399999999999998E-3</c:v>
                </c:pt>
                <c:pt idx="13">
                  <c:v>4.1700000000000001E-3</c:v>
                </c:pt>
                <c:pt idx="14">
                  <c:v>4.1999999999999997E-3</c:v>
                </c:pt>
                <c:pt idx="15">
                  <c:v>4.0000000000000001E-3</c:v>
                </c:pt>
                <c:pt idx="16">
                  <c:v>3.98E-3</c:v>
                </c:pt>
                <c:pt idx="17">
                  <c:v>4.0099999999999997E-3</c:v>
                </c:pt>
                <c:pt idx="18">
                  <c:v>4.0000000000000001E-3</c:v>
                </c:pt>
                <c:pt idx="19">
                  <c:v>3.8700000000000002E-3</c:v>
                </c:pt>
                <c:pt idx="20">
                  <c:v>3.7799999999999999E-3</c:v>
                </c:pt>
                <c:pt idx="21">
                  <c:v>3.5100000000000001E-3</c:v>
                </c:pt>
                <c:pt idx="22">
                  <c:v>3.5100000000000001E-3</c:v>
                </c:pt>
                <c:pt idx="23">
                  <c:v>3.64E-3</c:v>
                </c:pt>
                <c:pt idx="24">
                  <c:v>4.0499999999999998E-3</c:v>
                </c:pt>
                <c:pt idx="25">
                  <c:v>4.5799999999999999E-3</c:v>
                </c:pt>
                <c:pt idx="26">
                  <c:v>4.5599999999999998E-3</c:v>
                </c:pt>
                <c:pt idx="27">
                  <c:v>4.5500000000000002E-3</c:v>
                </c:pt>
                <c:pt idx="28">
                  <c:v>4.45E-3</c:v>
                </c:pt>
                <c:pt idx="29">
                  <c:v>4.4999999999999997E-3</c:v>
                </c:pt>
                <c:pt idx="30">
                  <c:v>4.7699999999999999E-3</c:v>
                </c:pt>
                <c:pt idx="31">
                  <c:v>4.5500000000000002E-3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29-4E1E-9434-EFAD38F60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1485952"/>
        <c:axId val="331487488"/>
      </c:lineChart>
      <c:catAx>
        <c:axId val="331485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31487488"/>
        <c:crosses val="autoZero"/>
        <c:auto val="1"/>
        <c:lblAlgn val="ctr"/>
        <c:lblOffset val="100"/>
        <c:tickLblSkip val="3"/>
        <c:noMultiLvlLbl val="0"/>
      </c:catAx>
      <c:valAx>
        <c:axId val="331487488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3314859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67" l="0.70000000000000062" r="0.70000000000000062" t="0.75000000000000167" header="0.30000000000000032" footer="0.30000000000000032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 Model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6885389326336"/>
          <c:y val="0.12126166520851613"/>
          <c:w val="0.83903630172501265"/>
          <c:h val="0.61921697287839061"/>
        </c:manualLayout>
      </c:layout>
      <c:lineChart>
        <c:grouping val="standard"/>
        <c:varyColors val="0"/>
        <c:ser>
          <c:idx val="0"/>
          <c:order val="0"/>
          <c:tx>
            <c:strRef>
              <c:f>'PD indicative - R-sq t-test'!$H$10</c:f>
              <c:strCache>
                <c:ptCount val="1"/>
                <c:pt idx="0">
                  <c:v>Observed ODR</c:v>
                </c:pt>
              </c:strCache>
            </c:strRef>
          </c:tx>
          <c:marker>
            <c:symbol val="none"/>
          </c:marker>
          <c:cat>
            <c:strRef>
              <c:f>'PD indicative - R-sq t-test'!$B$11:$B$42</c:f>
              <c:strCache>
                <c:ptCount val="32"/>
                <c:pt idx="0">
                  <c:v>2009Q3</c:v>
                </c:pt>
                <c:pt idx="1">
                  <c:v>2009Q4</c:v>
                </c:pt>
                <c:pt idx="2">
                  <c:v>2010Q1</c:v>
                </c:pt>
                <c:pt idx="3">
                  <c:v>2010Q2</c:v>
                </c:pt>
                <c:pt idx="4">
                  <c:v>2010Q3</c:v>
                </c:pt>
                <c:pt idx="5">
                  <c:v>2010Q4</c:v>
                </c:pt>
                <c:pt idx="6">
                  <c:v>2011Q1</c:v>
                </c:pt>
                <c:pt idx="7">
                  <c:v>2011Q2</c:v>
                </c:pt>
                <c:pt idx="8">
                  <c:v>2011Q3</c:v>
                </c:pt>
                <c:pt idx="9">
                  <c:v>2011Q4</c:v>
                </c:pt>
                <c:pt idx="10">
                  <c:v>2012Q1</c:v>
                </c:pt>
                <c:pt idx="11">
                  <c:v>2012Q2</c:v>
                </c:pt>
                <c:pt idx="12">
                  <c:v>2012Q3</c:v>
                </c:pt>
                <c:pt idx="13">
                  <c:v>2012Q4</c:v>
                </c:pt>
                <c:pt idx="14">
                  <c:v>2013Q1</c:v>
                </c:pt>
                <c:pt idx="15">
                  <c:v>2013Q2</c:v>
                </c:pt>
                <c:pt idx="16">
                  <c:v>2013Q3</c:v>
                </c:pt>
                <c:pt idx="17">
                  <c:v>2013Q4</c:v>
                </c:pt>
                <c:pt idx="18">
                  <c:v>2014Q1</c:v>
                </c:pt>
                <c:pt idx="19">
                  <c:v>2014Q2</c:v>
                </c:pt>
                <c:pt idx="20">
                  <c:v>2014Q3</c:v>
                </c:pt>
                <c:pt idx="21">
                  <c:v>2014Q4</c:v>
                </c:pt>
                <c:pt idx="22">
                  <c:v>2015Q1</c:v>
                </c:pt>
                <c:pt idx="23">
                  <c:v>2015Q2</c:v>
                </c:pt>
                <c:pt idx="24">
                  <c:v>2015Q3</c:v>
                </c:pt>
                <c:pt idx="25">
                  <c:v>2015Q4</c:v>
                </c:pt>
                <c:pt idx="26">
                  <c:v>2016Q1</c:v>
                </c:pt>
                <c:pt idx="27">
                  <c:v>2016Q2</c:v>
                </c:pt>
                <c:pt idx="28">
                  <c:v>2016Q3</c:v>
                </c:pt>
                <c:pt idx="29">
                  <c:v>2016Q4</c:v>
                </c:pt>
                <c:pt idx="30">
                  <c:v>2017Q1</c:v>
                </c:pt>
                <c:pt idx="31">
                  <c:v>2017Q2</c:v>
                </c:pt>
              </c:strCache>
            </c:strRef>
          </c:cat>
          <c:val>
            <c:numRef>
              <c:f>'PD indicative - R-sq t-test'!$H$11:$H$42</c:f>
              <c:numCache>
                <c:formatCode>0.00%</c:formatCode>
                <c:ptCount val="32"/>
                <c:pt idx="0">
                  <c:v>6.5329999999999997E-3</c:v>
                </c:pt>
                <c:pt idx="1">
                  <c:v>6.8989999999999998E-3</c:v>
                </c:pt>
                <c:pt idx="2">
                  <c:v>7.0860000000000003E-3</c:v>
                </c:pt>
                <c:pt idx="3">
                  <c:v>7.0080000000000003E-3</c:v>
                </c:pt>
                <c:pt idx="4">
                  <c:v>6.1539999999999997E-3</c:v>
                </c:pt>
                <c:pt idx="5">
                  <c:v>6.1269999999999996E-3</c:v>
                </c:pt>
                <c:pt idx="6">
                  <c:v>6.3169999999999997E-3</c:v>
                </c:pt>
                <c:pt idx="7">
                  <c:v>5.5620000000000001E-3</c:v>
                </c:pt>
                <c:pt idx="8">
                  <c:v>4.4270000000000004E-3</c:v>
                </c:pt>
                <c:pt idx="9">
                  <c:v>4.718E-3</c:v>
                </c:pt>
                <c:pt idx="10">
                  <c:v>4.8929999999999998E-3</c:v>
                </c:pt>
                <c:pt idx="11">
                  <c:v>4.3800000000000002E-3</c:v>
                </c:pt>
                <c:pt idx="12">
                  <c:v>4.0159999999999996E-3</c:v>
                </c:pt>
                <c:pt idx="13">
                  <c:v>4.084E-3</c:v>
                </c:pt>
                <c:pt idx="14">
                  <c:v>3.9249999999999997E-3</c:v>
                </c:pt>
                <c:pt idx="15">
                  <c:v>3.5409999999999999E-3</c:v>
                </c:pt>
                <c:pt idx="16">
                  <c:v>3.7659999999999998E-3</c:v>
                </c:pt>
                <c:pt idx="17">
                  <c:v>3.2330000000000002E-3</c:v>
                </c:pt>
                <c:pt idx="18">
                  <c:v>3.6640000000000002E-3</c:v>
                </c:pt>
                <c:pt idx="19">
                  <c:v>3.454E-3</c:v>
                </c:pt>
                <c:pt idx="20">
                  <c:v>3.7309999999999999E-3</c:v>
                </c:pt>
                <c:pt idx="21">
                  <c:v>3.6089999999999998E-3</c:v>
                </c:pt>
                <c:pt idx="22">
                  <c:v>4.202E-3</c:v>
                </c:pt>
                <c:pt idx="23">
                  <c:v>4.0980000000000001E-3</c:v>
                </c:pt>
                <c:pt idx="24">
                  <c:v>3.7399999999999998E-3</c:v>
                </c:pt>
                <c:pt idx="25">
                  <c:v>3.823E-3</c:v>
                </c:pt>
                <c:pt idx="26">
                  <c:v>4.3949999999999996E-3</c:v>
                </c:pt>
                <c:pt idx="27">
                  <c:v>3.7460000000000002E-3</c:v>
                </c:pt>
                <c:pt idx="28">
                  <c:v>3.9389999999999998E-3</c:v>
                </c:pt>
                <c:pt idx="29">
                  <c:v>3.555E-3</c:v>
                </c:pt>
                <c:pt idx="30">
                  <c:v>4.3109999999999997E-3</c:v>
                </c:pt>
                <c:pt idx="31">
                  <c:v>4.3509999999999998E-3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29-4E1E-9434-EFAD38F6032F}"/>
            </c:ext>
          </c:extLst>
        </c:ser>
        <c:ser>
          <c:idx val="1"/>
          <c:order val="1"/>
          <c:tx>
            <c:strRef>
              <c:f>'PD indicative - R-sq t-test'!$I$10</c:f>
              <c:strCache>
                <c:ptCount val="1"/>
                <c:pt idx="0">
                  <c:v>Predicted FL PD</c:v>
                </c:pt>
              </c:strCache>
            </c:strRef>
          </c:tx>
          <c:marker>
            <c:symbol val="none"/>
          </c:marker>
          <c:cat>
            <c:strRef>
              <c:f>'PD indicative - R-sq t-test'!$B$11:$B$42</c:f>
              <c:strCache>
                <c:ptCount val="32"/>
                <c:pt idx="0">
                  <c:v>2009Q3</c:v>
                </c:pt>
                <c:pt idx="1">
                  <c:v>2009Q4</c:v>
                </c:pt>
                <c:pt idx="2">
                  <c:v>2010Q1</c:v>
                </c:pt>
                <c:pt idx="3">
                  <c:v>2010Q2</c:v>
                </c:pt>
                <c:pt idx="4">
                  <c:v>2010Q3</c:v>
                </c:pt>
                <c:pt idx="5">
                  <c:v>2010Q4</c:v>
                </c:pt>
                <c:pt idx="6">
                  <c:v>2011Q1</c:v>
                </c:pt>
                <c:pt idx="7">
                  <c:v>2011Q2</c:v>
                </c:pt>
                <c:pt idx="8">
                  <c:v>2011Q3</c:v>
                </c:pt>
                <c:pt idx="9">
                  <c:v>2011Q4</c:v>
                </c:pt>
                <c:pt idx="10">
                  <c:v>2012Q1</c:v>
                </c:pt>
                <c:pt idx="11">
                  <c:v>2012Q2</c:v>
                </c:pt>
                <c:pt idx="12">
                  <c:v>2012Q3</c:v>
                </c:pt>
                <c:pt idx="13">
                  <c:v>2012Q4</c:v>
                </c:pt>
                <c:pt idx="14">
                  <c:v>2013Q1</c:v>
                </c:pt>
                <c:pt idx="15">
                  <c:v>2013Q2</c:v>
                </c:pt>
                <c:pt idx="16">
                  <c:v>2013Q3</c:v>
                </c:pt>
                <c:pt idx="17">
                  <c:v>2013Q4</c:v>
                </c:pt>
                <c:pt idx="18">
                  <c:v>2014Q1</c:v>
                </c:pt>
                <c:pt idx="19">
                  <c:v>2014Q2</c:v>
                </c:pt>
                <c:pt idx="20">
                  <c:v>2014Q3</c:v>
                </c:pt>
                <c:pt idx="21">
                  <c:v>2014Q4</c:v>
                </c:pt>
                <c:pt idx="22">
                  <c:v>2015Q1</c:v>
                </c:pt>
                <c:pt idx="23">
                  <c:v>2015Q2</c:v>
                </c:pt>
                <c:pt idx="24">
                  <c:v>2015Q3</c:v>
                </c:pt>
                <c:pt idx="25">
                  <c:v>2015Q4</c:v>
                </c:pt>
                <c:pt idx="26">
                  <c:v>2016Q1</c:v>
                </c:pt>
                <c:pt idx="27">
                  <c:v>2016Q2</c:v>
                </c:pt>
                <c:pt idx="28">
                  <c:v>2016Q3</c:v>
                </c:pt>
                <c:pt idx="29">
                  <c:v>2016Q4</c:v>
                </c:pt>
                <c:pt idx="30">
                  <c:v>2017Q1</c:v>
                </c:pt>
                <c:pt idx="31">
                  <c:v>2017Q2</c:v>
                </c:pt>
              </c:strCache>
            </c:strRef>
          </c:cat>
          <c:val>
            <c:numRef>
              <c:f>'PD indicative - R-sq t-test'!$I$11:$I$42</c:f>
              <c:numCache>
                <c:formatCode>0.00%</c:formatCode>
                <c:ptCount val="32"/>
                <c:pt idx="0">
                  <c:v>6.8500000000000002E-3</c:v>
                </c:pt>
                <c:pt idx="1">
                  <c:v>7.0099999999999997E-3</c:v>
                </c:pt>
                <c:pt idx="2">
                  <c:v>7.1500000000000001E-3</c:v>
                </c:pt>
                <c:pt idx="3">
                  <c:v>6.6800000000000002E-3</c:v>
                </c:pt>
                <c:pt idx="4">
                  <c:v>5.7999999999999996E-3</c:v>
                </c:pt>
                <c:pt idx="5">
                  <c:v>5.45E-3</c:v>
                </c:pt>
                <c:pt idx="6">
                  <c:v>5.1200000000000004E-3</c:v>
                </c:pt>
                <c:pt idx="7">
                  <c:v>4.8399999999999997E-3</c:v>
                </c:pt>
                <c:pt idx="8">
                  <c:v>4.8300000000000001E-3</c:v>
                </c:pt>
                <c:pt idx="9">
                  <c:v>5.0699999999999999E-3</c:v>
                </c:pt>
                <c:pt idx="10">
                  <c:v>4.8999999999999998E-3</c:v>
                </c:pt>
                <c:pt idx="11">
                  <c:v>4.6800000000000001E-3</c:v>
                </c:pt>
                <c:pt idx="12">
                  <c:v>4.3E-3</c:v>
                </c:pt>
                <c:pt idx="13">
                  <c:v>4.1900000000000001E-3</c:v>
                </c:pt>
                <c:pt idx="14">
                  <c:v>4.1799999999999997E-3</c:v>
                </c:pt>
                <c:pt idx="15">
                  <c:v>3.96E-3</c:v>
                </c:pt>
                <c:pt idx="16">
                  <c:v>3.9199999999999999E-3</c:v>
                </c:pt>
                <c:pt idx="17">
                  <c:v>3.9300000000000003E-3</c:v>
                </c:pt>
                <c:pt idx="18">
                  <c:v>3.9100000000000003E-3</c:v>
                </c:pt>
                <c:pt idx="19">
                  <c:v>3.79E-3</c:v>
                </c:pt>
                <c:pt idx="20">
                  <c:v>3.7399999999999998E-3</c:v>
                </c:pt>
                <c:pt idx="21">
                  <c:v>3.47E-3</c:v>
                </c:pt>
                <c:pt idx="22">
                  <c:v>3.47E-3</c:v>
                </c:pt>
                <c:pt idx="23">
                  <c:v>3.5799999999999998E-3</c:v>
                </c:pt>
                <c:pt idx="24">
                  <c:v>3.9399999999999999E-3</c:v>
                </c:pt>
                <c:pt idx="25">
                  <c:v>4.4299999999999999E-3</c:v>
                </c:pt>
                <c:pt idx="26">
                  <c:v>4.3600000000000002E-3</c:v>
                </c:pt>
                <c:pt idx="27">
                  <c:v>4.3200000000000001E-3</c:v>
                </c:pt>
                <c:pt idx="28">
                  <c:v>4.1999999999999997E-3</c:v>
                </c:pt>
                <c:pt idx="29">
                  <c:v>4.2500000000000003E-3</c:v>
                </c:pt>
                <c:pt idx="30">
                  <c:v>4.5500000000000002E-3</c:v>
                </c:pt>
                <c:pt idx="31">
                  <c:v>4.3299999999999996E-3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29-4E1E-9434-EFAD38F60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609216"/>
        <c:axId val="333679232"/>
      </c:lineChart>
      <c:catAx>
        <c:axId val="333609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3679232"/>
        <c:crosses val="autoZero"/>
        <c:auto val="1"/>
        <c:lblAlgn val="ctr"/>
        <c:lblOffset val="100"/>
        <c:tickLblSkip val="3"/>
        <c:noMultiLvlLbl val="0"/>
      </c:catAx>
      <c:valAx>
        <c:axId val="33367923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3336092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800"/>
      </a:pPr>
      <a:endParaRPr lang="en-US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GB" sz="1200" b="1" i="0" u="none" strike="noStrike" baseline="0"/>
              <a:t>Model 1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6885389326336"/>
          <c:y val="0.12126166520851618"/>
          <c:w val="0.83903630172501231"/>
          <c:h val="0.61921697287839061"/>
        </c:manualLayout>
      </c:layout>
      <c:lineChart>
        <c:grouping val="standard"/>
        <c:varyColors val="0"/>
        <c:ser>
          <c:idx val="0"/>
          <c:order val="0"/>
          <c:tx>
            <c:strRef>
              <c:f>'PD indicative - R-sq t-test'!$L$10</c:f>
              <c:strCache>
                <c:ptCount val="1"/>
                <c:pt idx="0">
                  <c:v>Observed ODR</c:v>
                </c:pt>
              </c:strCache>
            </c:strRef>
          </c:tx>
          <c:marker>
            <c:symbol val="none"/>
          </c:marker>
          <c:cat>
            <c:strRef>
              <c:f>'PD indicative - R-sq t-test'!$B$11:$B$42</c:f>
              <c:strCache>
                <c:ptCount val="32"/>
                <c:pt idx="0">
                  <c:v>2009Q3</c:v>
                </c:pt>
                <c:pt idx="1">
                  <c:v>2009Q4</c:v>
                </c:pt>
                <c:pt idx="2">
                  <c:v>2010Q1</c:v>
                </c:pt>
                <c:pt idx="3">
                  <c:v>2010Q2</c:v>
                </c:pt>
                <c:pt idx="4">
                  <c:v>2010Q3</c:v>
                </c:pt>
                <c:pt idx="5">
                  <c:v>2010Q4</c:v>
                </c:pt>
                <c:pt idx="6">
                  <c:v>2011Q1</c:v>
                </c:pt>
                <c:pt idx="7">
                  <c:v>2011Q2</c:v>
                </c:pt>
                <c:pt idx="8">
                  <c:v>2011Q3</c:v>
                </c:pt>
                <c:pt idx="9">
                  <c:v>2011Q4</c:v>
                </c:pt>
                <c:pt idx="10">
                  <c:v>2012Q1</c:v>
                </c:pt>
                <c:pt idx="11">
                  <c:v>2012Q2</c:v>
                </c:pt>
                <c:pt idx="12">
                  <c:v>2012Q3</c:v>
                </c:pt>
                <c:pt idx="13">
                  <c:v>2012Q4</c:v>
                </c:pt>
                <c:pt idx="14">
                  <c:v>2013Q1</c:v>
                </c:pt>
                <c:pt idx="15">
                  <c:v>2013Q2</c:v>
                </c:pt>
                <c:pt idx="16">
                  <c:v>2013Q3</c:v>
                </c:pt>
                <c:pt idx="17">
                  <c:v>2013Q4</c:v>
                </c:pt>
                <c:pt idx="18">
                  <c:v>2014Q1</c:v>
                </c:pt>
                <c:pt idx="19">
                  <c:v>2014Q2</c:v>
                </c:pt>
                <c:pt idx="20">
                  <c:v>2014Q3</c:v>
                </c:pt>
                <c:pt idx="21">
                  <c:v>2014Q4</c:v>
                </c:pt>
                <c:pt idx="22">
                  <c:v>2015Q1</c:v>
                </c:pt>
                <c:pt idx="23">
                  <c:v>2015Q2</c:v>
                </c:pt>
                <c:pt idx="24">
                  <c:v>2015Q3</c:v>
                </c:pt>
                <c:pt idx="25">
                  <c:v>2015Q4</c:v>
                </c:pt>
                <c:pt idx="26">
                  <c:v>2016Q1</c:v>
                </c:pt>
                <c:pt idx="27">
                  <c:v>2016Q2</c:v>
                </c:pt>
                <c:pt idx="28">
                  <c:v>2016Q3</c:v>
                </c:pt>
                <c:pt idx="29">
                  <c:v>2016Q4</c:v>
                </c:pt>
                <c:pt idx="30">
                  <c:v>2017Q1</c:v>
                </c:pt>
                <c:pt idx="31">
                  <c:v>2017Q2</c:v>
                </c:pt>
              </c:strCache>
            </c:strRef>
          </c:cat>
          <c:val>
            <c:numRef>
              <c:f>'PD indicative - R-sq t-test'!$L$11:$L$42</c:f>
              <c:numCache>
                <c:formatCode>0.00%</c:formatCode>
                <c:ptCount val="32"/>
                <c:pt idx="0">
                  <c:v>6.5329999999999997E-3</c:v>
                </c:pt>
                <c:pt idx="1">
                  <c:v>6.8989999999999998E-3</c:v>
                </c:pt>
                <c:pt idx="2">
                  <c:v>7.0860000000000003E-3</c:v>
                </c:pt>
                <c:pt idx="3">
                  <c:v>7.0080000000000003E-3</c:v>
                </c:pt>
                <c:pt idx="4">
                  <c:v>6.1539999999999997E-3</c:v>
                </c:pt>
                <c:pt idx="5">
                  <c:v>6.1269999999999996E-3</c:v>
                </c:pt>
                <c:pt idx="6">
                  <c:v>6.3169999999999997E-3</c:v>
                </c:pt>
                <c:pt idx="7">
                  <c:v>5.5620000000000001E-3</c:v>
                </c:pt>
                <c:pt idx="8">
                  <c:v>4.4270000000000004E-3</c:v>
                </c:pt>
                <c:pt idx="9">
                  <c:v>4.718E-3</c:v>
                </c:pt>
                <c:pt idx="10">
                  <c:v>4.8929999999999998E-3</c:v>
                </c:pt>
                <c:pt idx="11">
                  <c:v>4.3800000000000002E-3</c:v>
                </c:pt>
                <c:pt idx="12">
                  <c:v>4.0159999999999996E-3</c:v>
                </c:pt>
                <c:pt idx="13">
                  <c:v>4.084E-3</c:v>
                </c:pt>
                <c:pt idx="14">
                  <c:v>3.9249999999999997E-3</c:v>
                </c:pt>
                <c:pt idx="15">
                  <c:v>3.5409999999999999E-3</c:v>
                </c:pt>
                <c:pt idx="16">
                  <c:v>3.7659999999999998E-3</c:v>
                </c:pt>
                <c:pt idx="17">
                  <c:v>3.2330000000000002E-3</c:v>
                </c:pt>
                <c:pt idx="18">
                  <c:v>3.6640000000000002E-3</c:v>
                </c:pt>
                <c:pt idx="19">
                  <c:v>3.454E-3</c:v>
                </c:pt>
                <c:pt idx="20">
                  <c:v>3.7309999999999999E-3</c:v>
                </c:pt>
                <c:pt idx="21">
                  <c:v>3.6089999999999998E-3</c:v>
                </c:pt>
                <c:pt idx="22">
                  <c:v>4.202E-3</c:v>
                </c:pt>
                <c:pt idx="23">
                  <c:v>4.0980000000000001E-3</c:v>
                </c:pt>
                <c:pt idx="24">
                  <c:v>3.7399999999999998E-3</c:v>
                </c:pt>
                <c:pt idx="25">
                  <c:v>3.823E-3</c:v>
                </c:pt>
                <c:pt idx="26">
                  <c:v>4.3949999999999996E-3</c:v>
                </c:pt>
                <c:pt idx="27">
                  <c:v>3.7460000000000002E-3</c:v>
                </c:pt>
                <c:pt idx="28">
                  <c:v>3.9389999999999998E-3</c:v>
                </c:pt>
                <c:pt idx="29">
                  <c:v>3.555E-3</c:v>
                </c:pt>
                <c:pt idx="30">
                  <c:v>4.3109999999999997E-3</c:v>
                </c:pt>
                <c:pt idx="31">
                  <c:v>4.3509999999999998E-3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29-4E1E-9434-EFAD38F6032F}"/>
            </c:ext>
          </c:extLst>
        </c:ser>
        <c:ser>
          <c:idx val="1"/>
          <c:order val="1"/>
          <c:tx>
            <c:strRef>
              <c:f>'PD indicative - R-sq t-test'!$M$10</c:f>
              <c:strCache>
                <c:ptCount val="1"/>
                <c:pt idx="0">
                  <c:v>Predicted FL PD</c:v>
                </c:pt>
              </c:strCache>
            </c:strRef>
          </c:tx>
          <c:marker>
            <c:symbol val="none"/>
          </c:marker>
          <c:cat>
            <c:strRef>
              <c:f>'PD indicative - R-sq t-test'!$B$11:$B$42</c:f>
              <c:strCache>
                <c:ptCount val="32"/>
                <c:pt idx="0">
                  <c:v>2009Q3</c:v>
                </c:pt>
                <c:pt idx="1">
                  <c:v>2009Q4</c:v>
                </c:pt>
                <c:pt idx="2">
                  <c:v>2010Q1</c:v>
                </c:pt>
                <c:pt idx="3">
                  <c:v>2010Q2</c:v>
                </c:pt>
                <c:pt idx="4">
                  <c:v>2010Q3</c:v>
                </c:pt>
                <c:pt idx="5">
                  <c:v>2010Q4</c:v>
                </c:pt>
                <c:pt idx="6">
                  <c:v>2011Q1</c:v>
                </c:pt>
                <c:pt idx="7">
                  <c:v>2011Q2</c:v>
                </c:pt>
                <c:pt idx="8">
                  <c:v>2011Q3</c:v>
                </c:pt>
                <c:pt idx="9">
                  <c:v>2011Q4</c:v>
                </c:pt>
                <c:pt idx="10">
                  <c:v>2012Q1</c:v>
                </c:pt>
                <c:pt idx="11">
                  <c:v>2012Q2</c:v>
                </c:pt>
                <c:pt idx="12">
                  <c:v>2012Q3</c:v>
                </c:pt>
                <c:pt idx="13">
                  <c:v>2012Q4</c:v>
                </c:pt>
                <c:pt idx="14">
                  <c:v>2013Q1</c:v>
                </c:pt>
                <c:pt idx="15">
                  <c:v>2013Q2</c:v>
                </c:pt>
                <c:pt idx="16">
                  <c:v>2013Q3</c:v>
                </c:pt>
                <c:pt idx="17">
                  <c:v>2013Q4</c:v>
                </c:pt>
                <c:pt idx="18">
                  <c:v>2014Q1</c:v>
                </c:pt>
                <c:pt idx="19">
                  <c:v>2014Q2</c:v>
                </c:pt>
                <c:pt idx="20">
                  <c:v>2014Q3</c:v>
                </c:pt>
                <c:pt idx="21">
                  <c:v>2014Q4</c:v>
                </c:pt>
                <c:pt idx="22">
                  <c:v>2015Q1</c:v>
                </c:pt>
                <c:pt idx="23">
                  <c:v>2015Q2</c:v>
                </c:pt>
                <c:pt idx="24">
                  <c:v>2015Q3</c:v>
                </c:pt>
                <c:pt idx="25">
                  <c:v>2015Q4</c:v>
                </c:pt>
                <c:pt idx="26">
                  <c:v>2016Q1</c:v>
                </c:pt>
                <c:pt idx="27">
                  <c:v>2016Q2</c:v>
                </c:pt>
                <c:pt idx="28">
                  <c:v>2016Q3</c:v>
                </c:pt>
                <c:pt idx="29">
                  <c:v>2016Q4</c:v>
                </c:pt>
                <c:pt idx="30">
                  <c:v>2017Q1</c:v>
                </c:pt>
                <c:pt idx="31">
                  <c:v>2017Q2</c:v>
                </c:pt>
              </c:strCache>
            </c:strRef>
          </c:cat>
          <c:val>
            <c:numRef>
              <c:f>'PD indicative - R-sq t-test'!$M$11:$M$42</c:f>
              <c:numCache>
                <c:formatCode>0.00%</c:formatCode>
                <c:ptCount val="32"/>
                <c:pt idx="0">
                  <c:v>6.8399999999999997E-3</c:v>
                </c:pt>
                <c:pt idx="1">
                  <c:v>6.9800000000000001E-3</c:v>
                </c:pt>
                <c:pt idx="2">
                  <c:v>7.1799999999999998E-3</c:v>
                </c:pt>
                <c:pt idx="3">
                  <c:v>6.7099999999999998E-3</c:v>
                </c:pt>
                <c:pt idx="4">
                  <c:v>5.8199999999999997E-3</c:v>
                </c:pt>
                <c:pt idx="5">
                  <c:v>5.4799999999999996E-3</c:v>
                </c:pt>
                <c:pt idx="6">
                  <c:v>5.1599999999999997E-3</c:v>
                </c:pt>
                <c:pt idx="7">
                  <c:v>4.8900000000000002E-3</c:v>
                </c:pt>
                <c:pt idx="8">
                  <c:v>4.8900000000000002E-3</c:v>
                </c:pt>
                <c:pt idx="9">
                  <c:v>5.1399999999999996E-3</c:v>
                </c:pt>
                <c:pt idx="10">
                  <c:v>4.9699999999999996E-3</c:v>
                </c:pt>
                <c:pt idx="11">
                  <c:v>4.7299999999999998E-3</c:v>
                </c:pt>
                <c:pt idx="12">
                  <c:v>4.3200000000000001E-3</c:v>
                </c:pt>
                <c:pt idx="13">
                  <c:v>4.1999999999999997E-3</c:v>
                </c:pt>
                <c:pt idx="14">
                  <c:v>4.1700000000000001E-3</c:v>
                </c:pt>
                <c:pt idx="15">
                  <c:v>3.9399999999999999E-3</c:v>
                </c:pt>
                <c:pt idx="16">
                  <c:v>3.8899999999999998E-3</c:v>
                </c:pt>
                <c:pt idx="17">
                  <c:v>3.8800000000000002E-3</c:v>
                </c:pt>
                <c:pt idx="18">
                  <c:v>3.8600000000000001E-3</c:v>
                </c:pt>
                <c:pt idx="19">
                  <c:v>3.7499999999999999E-3</c:v>
                </c:pt>
                <c:pt idx="20">
                  <c:v>3.7200000000000002E-3</c:v>
                </c:pt>
                <c:pt idx="21">
                  <c:v>3.4499999999999999E-3</c:v>
                </c:pt>
                <c:pt idx="22">
                  <c:v>3.4499999999999999E-3</c:v>
                </c:pt>
                <c:pt idx="23">
                  <c:v>3.5400000000000002E-3</c:v>
                </c:pt>
                <c:pt idx="24">
                  <c:v>3.8899999999999998E-3</c:v>
                </c:pt>
                <c:pt idx="25">
                  <c:v>4.3600000000000002E-3</c:v>
                </c:pt>
                <c:pt idx="26">
                  <c:v>4.2599999999999999E-3</c:v>
                </c:pt>
                <c:pt idx="27">
                  <c:v>4.1999999999999997E-3</c:v>
                </c:pt>
                <c:pt idx="28">
                  <c:v>4.0899999999999999E-3</c:v>
                </c:pt>
                <c:pt idx="29">
                  <c:v>4.1399999999999996E-3</c:v>
                </c:pt>
                <c:pt idx="30">
                  <c:v>4.4400000000000004E-3</c:v>
                </c:pt>
                <c:pt idx="31">
                  <c:v>4.2300000000000003E-3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29-4E1E-9434-EFAD38F60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418752"/>
        <c:axId val="363420288"/>
      </c:lineChart>
      <c:catAx>
        <c:axId val="363418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63420288"/>
        <c:crosses val="autoZero"/>
        <c:auto val="1"/>
        <c:lblAlgn val="ctr"/>
        <c:lblOffset val="100"/>
        <c:tickLblSkip val="3"/>
        <c:noMultiLvlLbl val="0"/>
      </c:catAx>
      <c:valAx>
        <c:axId val="363420288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3634187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Portfolio</c:v>
          </c:tx>
          <c:spPr>
            <a:ln w="19050"/>
          </c:spPr>
          <c:marker>
            <c:symbol val="none"/>
          </c:marker>
          <c:cat>
            <c:strRef>
              <c:f>'Stress Response'!$K$2:$P$2</c:f>
              <c:strCache>
                <c:ptCount val="6"/>
                <c:pt idx="0">
                  <c:v>Y0</c:v>
                </c:pt>
                <c:pt idx="1">
                  <c:v>Y1</c:v>
                </c:pt>
                <c:pt idx="2">
                  <c:v>Y2</c:v>
                </c:pt>
                <c:pt idx="3">
                  <c:v>Y3</c:v>
                </c:pt>
                <c:pt idx="4">
                  <c:v>Y4</c:v>
                </c:pt>
                <c:pt idx="5">
                  <c:v>Y5</c:v>
                </c:pt>
              </c:strCache>
            </c:strRef>
          </c:cat>
          <c:val>
            <c:numRef>
              <c:f>'Stress Response'!$C$7:$H$7</c:f>
              <c:numCache>
                <c:formatCode>0.00%</c:formatCode>
                <c:ptCount val="6"/>
                <c:pt idx="0">
                  <c:v>1.7967110899393263E-2</c:v>
                </c:pt>
                <c:pt idx="1">
                  <c:v>2.2501693763674762E-2</c:v>
                </c:pt>
                <c:pt idx="2">
                  <c:v>2.9429298813726849E-2</c:v>
                </c:pt>
                <c:pt idx="3">
                  <c:v>3.0363520837680239E-2</c:v>
                </c:pt>
                <c:pt idx="4">
                  <c:v>3.0701473863036271E-2</c:v>
                </c:pt>
                <c:pt idx="5">
                  <c:v>2.9385100052908123E-2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9-40DD-B435-3589D46AE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533888"/>
        <c:axId val="348535424"/>
      </c:lineChart>
      <c:lineChart>
        <c:grouping val="standard"/>
        <c:varyColors val="0"/>
        <c:ser>
          <c:idx val="1"/>
          <c:order val="1"/>
          <c:tx>
            <c:v>Current</c:v>
          </c:tx>
          <c:spPr>
            <a:ln w="19050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val>
            <c:numRef>
              <c:f>'Stress Response'!$C$3:$H$3</c:f>
              <c:numCache>
                <c:formatCode>0.00%</c:formatCode>
                <c:ptCount val="6"/>
                <c:pt idx="0">
                  <c:v>3.5199556625846434E-3</c:v>
                </c:pt>
                <c:pt idx="1">
                  <c:v>6.100226671400151E-3</c:v>
                </c:pt>
                <c:pt idx="2">
                  <c:v>1.0551057602702016E-2</c:v>
                </c:pt>
                <c:pt idx="3">
                  <c:v>1.2601452634442187E-2</c:v>
                </c:pt>
                <c:pt idx="4">
                  <c:v>1.3449431549669265E-2</c:v>
                </c:pt>
                <c:pt idx="5">
                  <c:v>1.2914174691240858E-2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19-40DD-B435-3589D46AE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152448"/>
        <c:axId val="358150144"/>
      </c:lineChart>
      <c:catAx>
        <c:axId val="348533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48535424"/>
        <c:crosses val="autoZero"/>
        <c:auto val="1"/>
        <c:lblAlgn val="ctr"/>
        <c:lblOffset val="100"/>
        <c:noMultiLvlLbl val="0"/>
      </c:catAx>
      <c:valAx>
        <c:axId val="34853542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348533888"/>
        <c:crosses val="autoZero"/>
        <c:crossBetween val="between"/>
      </c:valAx>
      <c:valAx>
        <c:axId val="35815014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358152448"/>
        <c:crosses val="max"/>
        <c:crossBetween val="between"/>
      </c:valAx>
      <c:catAx>
        <c:axId val="358152448"/>
        <c:scaling>
          <c:orientation val="minMax"/>
        </c:scaling>
        <c:delete val="1"/>
        <c:axPos val="b"/>
        <c:majorTickMark val="out"/>
        <c:minorTickMark val="none"/>
        <c:tickLblPos val="none"/>
        <c:crossAx val="35815014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+mn-lt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Portfolio</c:v>
          </c:tx>
          <c:spPr>
            <a:ln w="19050"/>
          </c:spPr>
          <c:marker>
            <c:symbol val="none"/>
          </c:marker>
          <c:cat>
            <c:strRef>
              <c:f>'Stress Response'!$K$2:$P$2</c:f>
              <c:strCache>
                <c:ptCount val="6"/>
                <c:pt idx="0">
                  <c:v>Y0</c:v>
                </c:pt>
                <c:pt idx="1">
                  <c:v>Y1</c:v>
                </c:pt>
                <c:pt idx="2">
                  <c:v>Y2</c:v>
                </c:pt>
                <c:pt idx="3">
                  <c:v>Y3</c:v>
                </c:pt>
                <c:pt idx="4">
                  <c:v>Y4</c:v>
                </c:pt>
                <c:pt idx="5">
                  <c:v>Y5</c:v>
                </c:pt>
              </c:strCache>
            </c:strRef>
          </c:cat>
          <c:val>
            <c:numRef>
              <c:f>'Stress Response'!$K$7:$P$7</c:f>
              <c:numCache>
                <c:formatCode>0.00%</c:formatCode>
                <c:ptCount val="6"/>
                <c:pt idx="0">
                  <c:v>1.7740523368176608E-2</c:v>
                </c:pt>
                <c:pt idx="1">
                  <c:v>2.1941278661936372E-2</c:v>
                </c:pt>
                <c:pt idx="2">
                  <c:v>2.8245086613458526E-2</c:v>
                </c:pt>
                <c:pt idx="3">
                  <c:v>2.9457488963306133E-2</c:v>
                </c:pt>
                <c:pt idx="4">
                  <c:v>3.0402597119985688E-2</c:v>
                </c:pt>
                <c:pt idx="5">
                  <c:v>2.9564250536054722E-2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19-4BC1-AF2A-50B854C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019520"/>
        <c:axId val="350196864"/>
      </c:lineChart>
      <c:lineChart>
        <c:grouping val="standard"/>
        <c:varyColors val="0"/>
        <c:ser>
          <c:idx val="1"/>
          <c:order val="1"/>
          <c:tx>
            <c:v>Current</c:v>
          </c:tx>
          <c:spPr>
            <a:ln w="19050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val>
            <c:numRef>
              <c:f>'Stress Response'!$K$3:$P$3</c:f>
              <c:numCache>
                <c:formatCode>0.00%</c:formatCode>
                <c:ptCount val="6"/>
                <c:pt idx="0">
                  <c:v>3.2649250507557773E-3</c:v>
                </c:pt>
                <c:pt idx="1">
                  <c:v>5.4694637803131751E-3</c:v>
                </c:pt>
                <c:pt idx="2">
                  <c:v>9.2181936081653319E-3</c:v>
                </c:pt>
                <c:pt idx="3">
                  <c:v>1.158168838696846E-2</c:v>
                </c:pt>
                <c:pt idx="4">
                  <c:v>1.3113037405506369E-2</c:v>
                </c:pt>
                <c:pt idx="5">
                  <c:v>1.3115813577021502E-2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19-4BC1-AF2A-50B854C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422080"/>
        <c:axId val="351902720"/>
      </c:lineChart>
      <c:catAx>
        <c:axId val="3490195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50196864"/>
        <c:crosses val="autoZero"/>
        <c:auto val="1"/>
        <c:lblAlgn val="ctr"/>
        <c:lblOffset val="100"/>
        <c:noMultiLvlLbl val="0"/>
      </c:catAx>
      <c:valAx>
        <c:axId val="35019686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349019520"/>
        <c:crosses val="autoZero"/>
        <c:crossBetween val="between"/>
      </c:valAx>
      <c:valAx>
        <c:axId val="35190272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365422080"/>
        <c:crosses val="max"/>
        <c:crossBetween val="between"/>
      </c:valAx>
      <c:catAx>
        <c:axId val="365422080"/>
        <c:scaling>
          <c:orientation val="minMax"/>
        </c:scaling>
        <c:delete val="1"/>
        <c:axPos val="b"/>
        <c:majorTickMark val="out"/>
        <c:minorTickMark val="none"/>
        <c:tickLblPos val="none"/>
        <c:crossAx val="351902720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+mn-lt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Model performance under Stres Testing (Portfolio)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'Stress Response'!$B$32</c:f>
              <c:strCache>
                <c:ptCount val="1"/>
                <c:pt idx="0">
                  <c:v>Model 3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'Stress Response'!$C$31:$H$31</c:f>
              <c:strCache>
                <c:ptCount val="6"/>
                <c:pt idx="0">
                  <c:v>Y0</c:v>
                </c:pt>
                <c:pt idx="1">
                  <c:v>Y1</c:v>
                </c:pt>
                <c:pt idx="2">
                  <c:v>Y2</c:v>
                </c:pt>
                <c:pt idx="3">
                  <c:v>Y3</c:v>
                </c:pt>
                <c:pt idx="4">
                  <c:v>Y4</c:v>
                </c:pt>
                <c:pt idx="5">
                  <c:v>Y5</c:v>
                </c:pt>
              </c:strCache>
            </c:strRef>
          </c:cat>
          <c:val>
            <c:numRef>
              <c:f>'Stress Response'!$C$32:$H$32</c:f>
              <c:numCache>
                <c:formatCode>0.00%</c:formatCode>
                <c:ptCount val="6"/>
                <c:pt idx="0">
                  <c:v>1.7967110899393263E-2</c:v>
                </c:pt>
                <c:pt idx="1">
                  <c:v>2.2501693763674762E-2</c:v>
                </c:pt>
                <c:pt idx="2">
                  <c:v>2.9429298813726849E-2</c:v>
                </c:pt>
                <c:pt idx="3">
                  <c:v>3.0363520837680239E-2</c:v>
                </c:pt>
                <c:pt idx="4">
                  <c:v>3.0701473863036271E-2</c:v>
                </c:pt>
                <c:pt idx="5">
                  <c:v>2.9385100052908123E-2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ED-4D59-80F9-5A63F42BF98A}"/>
            </c:ext>
          </c:extLst>
        </c:ser>
        <c:ser>
          <c:idx val="1"/>
          <c:order val="1"/>
          <c:tx>
            <c:strRef>
              <c:f>'Stress Response'!$B$33</c:f>
              <c:strCache>
                <c:ptCount val="1"/>
                <c:pt idx="0">
                  <c:v>Model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'Stress Response'!$C$31:$H$31</c:f>
              <c:strCache>
                <c:ptCount val="6"/>
                <c:pt idx="0">
                  <c:v>Y0</c:v>
                </c:pt>
                <c:pt idx="1">
                  <c:v>Y1</c:v>
                </c:pt>
                <c:pt idx="2">
                  <c:v>Y2</c:v>
                </c:pt>
                <c:pt idx="3">
                  <c:v>Y3</c:v>
                </c:pt>
                <c:pt idx="4">
                  <c:v>Y4</c:v>
                </c:pt>
                <c:pt idx="5">
                  <c:v>Y5</c:v>
                </c:pt>
              </c:strCache>
            </c:strRef>
          </c:cat>
          <c:val>
            <c:numRef>
              <c:f>'Stress Response'!$C$33:$H$33</c:f>
              <c:numCache>
                <c:formatCode>0.00%</c:formatCode>
                <c:ptCount val="6"/>
                <c:pt idx="0">
                  <c:v>1.7740523368176608E-2</c:v>
                </c:pt>
                <c:pt idx="1">
                  <c:v>2.1941278661936372E-2</c:v>
                </c:pt>
                <c:pt idx="2">
                  <c:v>2.8245086613458526E-2</c:v>
                </c:pt>
                <c:pt idx="3">
                  <c:v>2.9457488963306133E-2</c:v>
                </c:pt>
                <c:pt idx="4">
                  <c:v>3.0402597119985688E-2</c:v>
                </c:pt>
                <c:pt idx="5">
                  <c:v>2.9564250536054722E-2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ED-4D59-80F9-5A63F42BF98A}"/>
            </c:ext>
          </c:extLst>
        </c:ser>
        <c:ser>
          <c:idx val="2"/>
          <c:order val="2"/>
          <c:tx>
            <c:strRef>
              <c:f>'Stress Response'!$B$34</c:f>
              <c:strCache>
                <c:ptCount val="1"/>
                <c:pt idx="0">
                  <c:v>Model 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'Stress Response'!$C$31:$H$31</c:f>
              <c:strCache>
                <c:ptCount val="6"/>
                <c:pt idx="0">
                  <c:v>Y0</c:v>
                </c:pt>
                <c:pt idx="1">
                  <c:v>Y1</c:v>
                </c:pt>
                <c:pt idx="2">
                  <c:v>Y2</c:v>
                </c:pt>
                <c:pt idx="3">
                  <c:v>Y3</c:v>
                </c:pt>
                <c:pt idx="4">
                  <c:v>Y4</c:v>
                </c:pt>
                <c:pt idx="5">
                  <c:v>Y5</c:v>
                </c:pt>
              </c:strCache>
            </c:strRef>
          </c:cat>
          <c:val>
            <c:numRef>
              <c:f>'Stress Response'!$C$34:$H$34</c:f>
              <c:numCache>
                <c:formatCode>0.00%</c:formatCode>
                <c:ptCount val="6"/>
                <c:pt idx="0">
                  <c:v>1.7632616798036314E-2</c:v>
                </c:pt>
                <c:pt idx="1">
                  <c:v>2.1655677180112159E-2</c:v>
                </c:pt>
                <c:pt idx="2">
                  <c:v>2.7618538559795132E-2</c:v>
                </c:pt>
                <c:pt idx="3">
                  <c:v>2.886072522504271E-2</c:v>
                </c:pt>
                <c:pt idx="4">
                  <c:v>3.0060007873766555E-2</c:v>
                </c:pt>
                <c:pt idx="5">
                  <c:v>2.950658529831764E-2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ED-4D59-80F9-5A63F42BF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5322847"/>
        <c:axId val="1216937439"/>
      </c:lineChart>
      <c:lineChart>
        <c:grouping val="standard"/>
        <c:varyColors val="0"/>
        <c:ser>
          <c:idx val="3"/>
          <c:order val="3"/>
          <c:tx>
            <c:strRef>
              <c:f>'Stress Response'!$B$35</c:f>
              <c:strCache>
                <c:ptCount val="1"/>
                <c:pt idx="0">
                  <c:v>UER lag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'Stress Response'!$C$35:$H$35</c:f>
              <c:numCache>
                <c:formatCode>General</c:formatCode>
                <c:ptCount val="6"/>
                <c:pt idx="0">
                  <c:v>3.47</c:v>
                </c:pt>
                <c:pt idx="1">
                  <c:v>3.21</c:v>
                </c:pt>
                <c:pt idx="2">
                  <c:v>4.1563551329999999</c:v>
                </c:pt>
                <c:pt idx="3">
                  <c:v>4.546446328</c:v>
                </c:pt>
                <c:pt idx="4">
                  <c:v>4.2636880599999998</c:v>
                </c:pt>
                <c:pt idx="5">
                  <c:v>4.212198291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ED-4D59-80F9-5A63F42BF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931536"/>
        <c:axId val="392327536"/>
      </c:lineChart>
      <c:catAx>
        <c:axId val="1025322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6937439"/>
        <c:crosses val="autoZero"/>
        <c:auto val="1"/>
        <c:lblAlgn val="ctr"/>
        <c:lblOffset val="100"/>
        <c:noMultiLvlLbl val="0"/>
      </c:catAx>
      <c:valAx>
        <c:axId val="1216937439"/>
        <c:scaling>
          <c:orientation val="minMax"/>
          <c:min val="1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322847"/>
        <c:crosses val="autoZero"/>
        <c:crossBetween val="between"/>
      </c:valAx>
      <c:valAx>
        <c:axId val="3923275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31536"/>
        <c:crosses val="max"/>
        <c:crossBetween val="between"/>
      </c:valAx>
      <c:catAx>
        <c:axId val="507931536"/>
        <c:scaling>
          <c:orientation val="minMax"/>
        </c:scaling>
        <c:delete val="1"/>
        <c:axPos val="b"/>
        <c:majorTickMark val="out"/>
        <c:minorTickMark val="none"/>
        <c:tickLblPos val="nextTo"/>
        <c:crossAx val="3923275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UER Lag</c:v>
          </c:tx>
          <c:spPr>
            <a:ln w="19050"/>
          </c:spPr>
          <c:marker>
            <c:symbol val="none"/>
          </c:marker>
          <c:cat>
            <c:strRef>
              <c:f>'Stress Response'!$K$2:$P$2</c:f>
              <c:strCache>
                <c:ptCount val="6"/>
                <c:pt idx="0">
                  <c:v>Y0</c:v>
                </c:pt>
                <c:pt idx="1">
                  <c:v>Y1</c:v>
                </c:pt>
                <c:pt idx="2">
                  <c:v>Y2</c:v>
                </c:pt>
                <c:pt idx="3">
                  <c:v>Y3</c:v>
                </c:pt>
                <c:pt idx="4">
                  <c:v>Y4</c:v>
                </c:pt>
                <c:pt idx="5">
                  <c:v>Y5</c:v>
                </c:pt>
              </c:strCache>
            </c:strRef>
          </c:cat>
          <c:val>
            <c:numRef>
              <c:f>'Stress Response'!$AA$4:$AF$4</c:f>
              <c:numCache>
                <c:formatCode>General</c:formatCode>
                <c:ptCount val="6"/>
                <c:pt idx="0">
                  <c:v>3.47</c:v>
                </c:pt>
                <c:pt idx="1">
                  <c:v>3.21</c:v>
                </c:pt>
                <c:pt idx="2">
                  <c:v>4.1563551329999999</c:v>
                </c:pt>
                <c:pt idx="3">
                  <c:v>4.546446328</c:v>
                </c:pt>
                <c:pt idx="4">
                  <c:v>4.2636880599999998</c:v>
                </c:pt>
                <c:pt idx="5">
                  <c:v>4.212198291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FA-4009-8799-B578EF817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710912"/>
        <c:axId val="343763200"/>
      </c:lineChart>
      <c:lineChart>
        <c:grouping val="standard"/>
        <c:varyColors val="0"/>
        <c:ser>
          <c:idx val="1"/>
          <c:order val="1"/>
          <c:tx>
            <c:v>HHI</c:v>
          </c:tx>
          <c:spPr>
            <a:ln w="19050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val>
            <c:numRef>
              <c:f>'Stress Response'!$AA$3:$AF$3</c:f>
              <c:numCache>
                <c:formatCode>General</c:formatCode>
                <c:ptCount val="6"/>
                <c:pt idx="0">
                  <c:v>194776430323</c:v>
                </c:pt>
                <c:pt idx="1">
                  <c:v>177907501113.82001</c:v>
                </c:pt>
                <c:pt idx="2">
                  <c:v>183260116741.10999</c:v>
                </c:pt>
                <c:pt idx="3">
                  <c:v>197782210852.37</c:v>
                </c:pt>
                <c:pt idx="4">
                  <c:v>213180630814.72</c:v>
                </c:pt>
                <c:pt idx="5">
                  <c:v>225369779351.45999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FA-4009-8799-B578EF817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865472"/>
        <c:axId val="344551424"/>
      </c:lineChart>
      <c:catAx>
        <c:axId val="3427109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43763200"/>
        <c:crosses val="autoZero"/>
        <c:auto val="1"/>
        <c:lblAlgn val="ctr"/>
        <c:lblOffset val="100"/>
        <c:noMultiLvlLbl val="0"/>
      </c:catAx>
      <c:valAx>
        <c:axId val="34376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2710912"/>
        <c:crosses val="autoZero"/>
        <c:crossBetween val="between"/>
      </c:valAx>
      <c:valAx>
        <c:axId val="344551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47865472"/>
        <c:crosses val="max"/>
        <c:crossBetween val="between"/>
      </c:valAx>
      <c:catAx>
        <c:axId val="347865472"/>
        <c:scaling>
          <c:orientation val="minMax"/>
        </c:scaling>
        <c:delete val="1"/>
        <c:axPos val="b"/>
        <c:majorTickMark val="out"/>
        <c:minorTickMark val="none"/>
        <c:tickLblPos val="none"/>
        <c:crossAx val="34455142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+mn-lt"/>
        </a:defRPr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Portfolio</c:v>
          </c:tx>
          <c:spPr>
            <a:ln w="19050"/>
          </c:spPr>
          <c:marker>
            <c:symbol val="none"/>
          </c:marker>
          <c:cat>
            <c:strRef>
              <c:f>'Stress Response'!$K$2:$P$2</c:f>
              <c:strCache>
                <c:ptCount val="6"/>
                <c:pt idx="0">
                  <c:v>Y0</c:v>
                </c:pt>
                <c:pt idx="1">
                  <c:v>Y1</c:v>
                </c:pt>
                <c:pt idx="2">
                  <c:v>Y2</c:v>
                </c:pt>
                <c:pt idx="3">
                  <c:v>Y3</c:v>
                </c:pt>
                <c:pt idx="4">
                  <c:v>Y4</c:v>
                </c:pt>
                <c:pt idx="5">
                  <c:v>Y5</c:v>
                </c:pt>
              </c:strCache>
            </c:strRef>
          </c:cat>
          <c:val>
            <c:numRef>
              <c:f>'Stress Response'!$S$7:$X$7</c:f>
              <c:numCache>
                <c:formatCode>0.00%</c:formatCode>
                <c:ptCount val="6"/>
                <c:pt idx="0">
                  <c:v>1.7632616798036314E-2</c:v>
                </c:pt>
                <c:pt idx="1">
                  <c:v>2.1655677180112159E-2</c:v>
                </c:pt>
                <c:pt idx="2">
                  <c:v>2.7618538559795132E-2</c:v>
                </c:pt>
                <c:pt idx="3">
                  <c:v>2.886072522504271E-2</c:v>
                </c:pt>
                <c:pt idx="4">
                  <c:v>3.0060007873766555E-2</c:v>
                </c:pt>
                <c:pt idx="5">
                  <c:v>2.950658529831764E-2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C2-41F5-9793-A45EFF893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279104"/>
        <c:axId val="363280640"/>
      </c:lineChart>
      <c:lineChart>
        <c:grouping val="standard"/>
        <c:varyColors val="0"/>
        <c:ser>
          <c:idx val="1"/>
          <c:order val="1"/>
          <c:tx>
            <c:v>Current</c:v>
          </c:tx>
          <c:spPr>
            <a:ln w="19050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val>
            <c:numRef>
              <c:f>'Stress Response'!$S$3:$X$3</c:f>
              <c:numCache>
                <c:formatCode>0.00%</c:formatCode>
                <c:ptCount val="6"/>
                <c:pt idx="0">
                  <c:v>3.1434731842057166E-3</c:v>
                </c:pt>
                <c:pt idx="1">
                  <c:v>5.1480113144261007E-3</c:v>
                </c:pt>
                <c:pt idx="2">
                  <c:v>8.5129962276741054E-3</c:v>
                </c:pt>
                <c:pt idx="3">
                  <c:v>1.0910014087551344E-2</c:v>
                </c:pt>
                <c:pt idx="4">
                  <c:v>1.2727443614885509E-2</c:v>
                </c:pt>
                <c:pt idx="5">
                  <c:v>1.3050909737068888E-2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C2-41F5-9793-A45EFF893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283968"/>
        <c:axId val="363282432"/>
      </c:lineChart>
      <c:catAx>
        <c:axId val="3632791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63280640"/>
        <c:crosses val="autoZero"/>
        <c:auto val="1"/>
        <c:lblAlgn val="ctr"/>
        <c:lblOffset val="100"/>
        <c:noMultiLvlLbl val="0"/>
      </c:catAx>
      <c:valAx>
        <c:axId val="36328064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363279104"/>
        <c:crosses val="autoZero"/>
        <c:crossBetween val="between"/>
      </c:valAx>
      <c:valAx>
        <c:axId val="3632824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363283968"/>
        <c:crosses val="max"/>
        <c:crossBetween val="between"/>
      </c:valAx>
      <c:catAx>
        <c:axId val="363283968"/>
        <c:scaling>
          <c:orientation val="minMax"/>
        </c:scaling>
        <c:delete val="1"/>
        <c:axPos val="b"/>
        <c:majorTickMark val="out"/>
        <c:minorTickMark val="none"/>
        <c:tickLblPos val="none"/>
        <c:crossAx val="36328243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>
          <a:latin typeface="+mn-lt"/>
        </a:defRPr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Model performance under Stres Testing (Current)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'Stress Response'!$B$32</c:f>
              <c:strCache>
                <c:ptCount val="1"/>
                <c:pt idx="0">
                  <c:v>Model 3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'Stress Response'!$C$31:$H$31</c:f>
              <c:strCache>
                <c:ptCount val="6"/>
                <c:pt idx="0">
                  <c:v>Y0</c:v>
                </c:pt>
                <c:pt idx="1">
                  <c:v>Y1</c:v>
                </c:pt>
                <c:pt idx="2">
                  <c:v>Y2</c:v>
                </c:pt>
                <c:pt idx="3">
                  <c:v>Y3</c:v>
                </c:pt>
                <c:pt idx="4">
                  <c:v>Y4</c:v>
                </c:pt>
                <c:pt idx="5">
                  <c:v>Y5</c:v>
                </c:pt>
              </c:strCache>
            </c:strRef>
          </c:cat>
          <c:val>
            <c:numRef>
              <c:f>'Stress Response'!$C$42:$H$42</c:f>
              <c:numCache>
                <c:formatCode>0.00%</c:formatCode>
                <c:ptCount val="6"/>
                <c:pt idx="0">
                  <c:v>3.5199556625846434E-3</c:v>
                </c:pt>
                <c:pt idx="1">
                  <c:v>6.100226671400151E-3</c:v>
                </c:pt>
                <c:pt idx="2">
                  <c:v>1.0551057602702016E-2</c:v>
                </c:pt>
                <c:pt idx="3">
                  <c:v>1.2601452634442187E-2</c:v>
                </c:pt>
                <c:pt idx="4">
                  <c:v>1.3449431549669265E-2</c:v>
                </c:pt>
                <c:pt idx="5">
                  <c:v>1.2914174691240858E-2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2-4DFE-A6D7-33C40644B5F4}"/>
            </c:ext>
          </c:extLst>
        </c:ser>
        <c:ser>
          <c:idx val="1"/>
          <c:order val="1"/>
          <c:tx>
            <c:strRef>
              <c:f>'Stress Response'!$B$33</c:f>
              <c:strCache>
                <c:ptCount val="1"/>
                <c:pt idx="0">
                  <c:v>Model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'Stress Response'!$C$31:$H$31</c:f>
              <c:strCache>
                <c:ptCount val="6"/>
                <c:pt idx="0">
                  <c:v>Y0</c:v>
                </c:pt>
                <c:pt idx="1">
                  <c:v>Y1</c:v>
                </c:pt>
                <c:pt idx="2">
                  <c:v>Y2</c:v>
                </c:pt>
                <c:pt idx="3">
                  <c:v>Y3</c:v>
                </c:pt>
                <c:pt idx="4">
                  <c:v>Y4</c:v>
                </c:pt>
                <c:pt idx="5">
                  <c:v>Y5</c:v>
                </c:pt>
              </c:strCache>
            </c:strRef>
          </c:cat>
          <c:val>
            <c:numRef>
              <c:f>'Stress Response'!$C$43:$H$43</c:f>
              <c:numCache>
                <c:formatCode>0.00%</c:formatCode>
                <c:ptCount val="6"/>
                <c:pt idx="0">
                  <c:v>3.2649250507557773E-3</c:v>
                </c:pt>
                <c:pt idx="1">
                  <c:v>5.4694637803131751E-3</c:v>
                </c:pt>
                <c:pt idx="2">
                  <c:v>9.2181936081653319E-3</c:v>
                </c:pt>
                <c:pt idx="3">
                  <c:v>1.158168838696846E-2</c:v>
                </c:pt>
                <c:pt idx="4">
                  <c:v>1.3113037405506369E-2</c:v>
                </c:pt>
                <c:pt idx="5">
                  <c:v>1.3115813577021502E-2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72-4DFE-A6D7-33C40644B5F4}"/>
            </c:ext>
          </c:extLst>
        </c:ser>
        <c:ser>
          <c:idx val="2"/>
          <c:order val="2"/>
          <c:tx>
            <c:strRef>
              <c:f>'Stress Response'!$B$34</c:f>
              <c:strCache>
                <c:ptCount val="1"/>
                <c:pt idx="0">
                  <c:v>Model 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'Stress Response'!$C$31:$H$31</c:f>
              <c:strCache>
                <c:ptCount val="6"/>
                <c:pt idx="0">
                  <c:v>Y0</c:v>
                </c:pt>
                <c:pt idx="1">
                  <c:v>Y1</c:v>
                </c:pt>
                <c:pt idx="2">
                  <c:v>Y2</c:v>
                </c:pt>
                <c:pt idx="3">
                  <c:v>Y3</c:v>
                </c:pt>
                <c:pt idx="4">
                  <c:v>Y4</c:v>
                </c:pt>
                <c:pt idx="5">
                  <c:v>Y5</c:v>
                </c:pt>
              </c:strCache>
            </c:strRef>
          </c:cat>
          <c:val>
            <c:numRef>
              <c:f>'Stress Response'!$C$44:$H$44</c:f>
              <c:numCache>
                <c:formatCode>0.00%</c:formatCode>
                <c:ptCount val="6"/>
                <c:pt idx="0">
                  <c:v>3.1434731842057166E-3</c:v>
                </c:pt>
                <c:pt idx="1">
                  <c:v>5.1480113144261007E-3</c:v>
                </c:pt>
                <c:pt idx="2">
                  <c:v>8.5129962276741054E-3</c:v>
                </c:pt>
                <c:pt idx="3">
                  <c:v>1.0910014087551344E-2</c:v>
                </c:pt>
                <c:pt idx="4">
                  <c:v>1.2727443614885509E-2</c:v>
                </c:pt>
                <c:pt idx="5">
                  <c:v>1.3050909737068888E-2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72-4DFE-A6D7-33C40644B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5322847"/>
        <c:axId val="1216937439"/>
      </c:lineChart>
      <c:lineChart>
        <c:grouping val="standard"/>
        <c:varyColors val="0"/>
        <c:ser>
          <c:idx val="3"/>
          <c:order val="3"/>
          <c:tx>
            <c:strRef>
              <c:f>'Stress Response'!$B$35</c:f>
              <c:strCache>
                <c:ptCount val="1"/>
                <c:pt idx="0">
                  <c:v>UER lag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'Stress Response'!$C$35:$H$35</c:f>
              <c:numCache>
                <c:formatCode>General</c:formatCode>
                <c:ptCount val="6"/>
                <c:pt idx="0">
                  <c:v>3.47</c:v>
                </c:pt>
                <c:pt idx="1">
                  <c:v>3.21</c:v>
                </c:pt>
                <c:pt idx="2">
                  <c:v>4.1563551329999999</c:v>
                </c:pt>
                <c:pt idx="3">
                  <c:v>4.546446328</c:v>
                </c:pt>
                <c:pt idx="4">
                  <c:v>4.2636880599999998</c:v>
                </c:pt>
                <c:pt idx="5">
                  <c:v>4.212198291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72-4DFE-A6D7-33C40644B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931536"/>
        <c:axId val="392327536"/>
      </c:lineChart>
      <c:catAx>
        <c:axId val="1025322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6937439"/>
        <c:crosses val="autoZero"/>
        <c:auto val="1"/>
        <c:lblAlgn val="ctr"/>
        <c:lblOffset val="100"/>
        <c:noMultiLvlLbl val="0"/>
      </c:catAx>
      <c:valAx>
        <c:axId val="1216937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322847"/>
        <c:crosses val="autoZero"/>
        <c:crossBetween val="between"/>
      </c:valAx>
      <c:valAx>
        <c:axId val="3923275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31536"/>
        <c:crosses val="max"/>
        <c:crossBetween val="between"/>
      </c:valAx>
      <c:catAx>
        <c:axId val="507931536"/>
        <c:scaling>
          <c:orientation val="minMax"/>
        </c:scaling>
        <c:delete val="1"/>
        <c:axPos val="b"/>
        <c:majorTickMark val="out"/>
        <c:minorTickMark val="none"/>
        <c:tickLblPos val="nextTo"/>
        <c:crossAx val="3923275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'Life Time Plot'!$K$2</c:f>
          <c:strCache>
            <c:ptCount val="1"/>
            <c:pt idx="0">
              <c:v>Segment : SEG2 Quarters : 2011Q3</c:v>
            </c:pt>
          </c:strCache>
        </c:strRef>
      </c:tx>
      <c:layout>
        <c:manualLayout>
          <c:xMode val="edge"/>
          <c:yMode val="edge"/>
          <c:x val="0.14049751243781092"/>
          <c:y val="6.0185185185185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12629204931473"/>
          <c:y val="5.0925925925925923E-2"/>
          <c:w val="0.82511962124137461"/>
          <c:h val="0.80463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'Life Time Plot'!$E$4</c:f>
              <c:strCache>
                <c:ptCount val="1"/>
                <c:pt idx="0">
                  <c:v>Actual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'Life Time Plot'!$D$5:$D$10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'Life Time Plot'!$E$5:$E$10</c:f>
              <c:numCache>
                <c:formatCode>0.00%</c:formatCode>
                <c:ptCount val="6"/>
                <c:pt idx="0">
                  <c:v>3.5300000000000002E-3</c:v>
                </c:pt>
                <c:pt idx="1">
                  <c:v>1.0449999999999999E-2</c:v>
                </c:pt>
                <c:pt idx="2">
                  <c:v>1.558E-2</c:v>
                </c:pt>
                <c:pt idx="3">
                  <c:v>2.0969999999999999E-2</c:v>
                </c:pt>
                <c:pt idx="4">
                  <c:v>2.5770000000000001E-2</c:v>
                </c:pt>
                <c:pt idx="5">
                  <c:v>2.9229999999999999E-2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4E-4FCA-ADAA-8F592A287DC2}"/>
            </c:ext>
          </c:extLst>
        </c:ser>
        <c:ser>
          <c:idx val="1"/>
          <c:order val="1"/>
          <c:tx>
            <c:strRef>
              <c:f>'Life Time Plot'!$F$4</c:f>
              <c:strCache>
                <c:ptCount val="1"/>
                <c:pt idx="0">
                  <c:v>Predicted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'Life Time Plot'!$D$5:$D$10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'Life Time Plot'!$F$5:$F$10</c:f>
              <c:numCache>
                <c:formatCode>0.00%</c:formatCode>
                <c:ptCount val="6"/>
                <c:pt idx="0">
                  <c:v>3.7499999999999999E-3</c:v>
                </c:pt>
                <c:pt idx="1">
                  <c:v>7.7000000000000002E-3</c:v>
                </c:pt>
                <c:pt idx="2">
                  <c:v>1.225E-2</c:v>
                </c:pt>
                <c:pt idx="3">
                  <c:v>1.7080000000000001E-2</c:v>
                </c:pt>
                <c:pt idx="4">
                  <c:v>2.232E-2</c:v>
                </c:pt>
                <c:pt idx="5">
                  <c:v>2.8129999999999999E-2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4E-4FCA-ADAA-8F592A287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7205999"/>
        <c:axId val="915438095"/>
      </c:scatterChart>
      <c:valAx>
        <c:axId val="907205999"/>
        <c:scaling>
          <c:orientation val="minMax"/>
          <c:max val="6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Year</a:t>
                </a:r>
              </a:p>
            </c:rich>
          </c:tx>
          <c:layout>
            <c:manualLayout>
              <c:xMode val="edge"/>
              <c:yMode val="edge"/>
              <c:x val="0.49975723183855758"/>
              <c:y val="0.919398148148148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38095"/>
        <c:crosses val="autoZero"/>
        <c:crossBetween val="midCat"/>
      </c:valAx>
      <c:valAx>
        <c:axId val="91543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%Defaults</a:t>
                </a:r>
                <a:r>
                  <a:rPr lang="en-GB" baseline="0"/>
                  <a:t> (Cumulative)</a:t>
                </a:r>
              </a:p>
              <a:p>
                <a:pPr>
                  <a:defRPr/>
                </a:pP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7205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9740398121876559"/>
          <c:y val="0.76909667541557303"/>
          <c:w val="0.36240574405811216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29</xdr:col>
      <xdr:colOff>247650</xdr:colOff>
      <xdr:row>17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19</xdr:row>
      <xdr:rowOff>0</xdr:rowOff>
    </xdr:from>
    <xdr:to>
      <xdr:col>29</xdr:col>
      <xdr:colOff>247650</xdr:colOff>
      <xdr:row>39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493059</xdr:colOff>
      <xdr:row>2</xdr:row>
      <xdr:rowOff>0</xdr:rowOff>
    </xdr:from>
    <xdr:to>
      <xdr:col>26</xdr:col>
      <xdr:colOff>493059</xdr:colOff>
      <xdr:row>13</xdr:row>
      <xdr:rowOff>85725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16125265" y="560294"/>
          <a:ext cx="0" cy="21812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11206</xdr:colOff>
      <xdr:row>41</xdr:row>
      <xdr:rowOff>33618</xdr:rowOff>
    </xdr:from>
    <xdr:to>
      <xdr:col>29</xdr:col>
      <xdr:colOff>258856</xdr:colOff>
      <xdr:row>61</xdr:row>
      <xdr:rowOff>138393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63</xdr:row>
      <xdr:rowOff>156881</xdr:rowOff>
    </xdr:from>
    <xdr:to>
      <xdr:col>29</xdr:col>
      <xdr:colOff>247650</xdr:colOff>
      <xdr:row>87</xdr:row>
      <xdr:rowOff>112058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1</cdr:x>
      <cdr:y>0.06928</cdr:y>
    </cdr:from>
    <cdr:to>
      <cdr:x>1</cdr:x>
      <cdr:y>0.87048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23919703-838A-41F8-AA79-DBECF5C46F85}"/>
            </a:ext>
          </a:extLst>
        </cdr:cNvPr>
        <cdr:cNvCxnSpPr/>
      </cdr:nvCxnSpPr>
      <cdr:spPr>
        <a:xfrm xmlns:a="http://schemas.openxmlformats.org/drawingml/2006/main">
          <a:off x="12696825" y="219075"/>
          <a:ext cx="0" cy="253365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 cap="flat" cmpd="sng" algn="ctr">
          <a:solidFill>
            <a:srgbClr val="4F81BD">
              <a:shade val="95000"/>
              <a:satMod val="105000"/>
            </a:srgbClr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0.85633</cdr:x>
      <cdr:y>0.1175</cdr:y>
    </cdr:from>
    <cdr:to>
      <cdr:x>0.85633</cdr:x>
      <cdr:y>0.76613</cdr:y>
    </cdr:to>
    <cdr:sp macro="" textlink="">
      <cdr:nvSpPr>
        <cdr:cNvPr id="10" name="Straight Connector 9"/>
        <cdr:cNvSpPr/>
      </cdr:nvSpPr>
      <cdr:spPr>
        <a:xfrm xmlns:a="http://schemas.openxmlformats.org/drawingml/2006/main" flipV="1">
          <a:off x="7466561" y="380999"/>
          <a:ext cx="0" cy="210312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1</cdr:x>
      <cdr:y>0.06928</cdr:y>
    </cdr:from>
    <cdr:to>
      <cdr:x>1</cdr:x>
      <cdr:y>0.87048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780A41D3-CAC4-4516-9D9E-B692F46E7A4E}"/>
            </a:ext>
          </a:extLst>
        </cdr:cNvPr>
        <cdr:cNvCxnSpPr/>
      </cdr:nvCxnSpPr>
      <cdr:spPr>
        <a:xfrm xmlns:a="http://schemas.openxmlformats.org/drawingml/2006/main">
          <a:off x="12696825" y="219075"/>
          <a:ext cx="0" cy="253365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 cap="flat" cmpd="sng" algn="ctr">
          <a:solidFill>
            <a:srgbClr val="4F81BD">
              <a:shade val="95000"/>
              <a:satMod val="105000"/>
            </a:srgbClr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0.87432</cdr:x>
      <cdr:y>0.1152</cdr:y>
    </cdr:from>
    <cdr:to>
      <cdr:x>0.87432</cdr:x>
      <cdr:y>0.79203</cdr:y>
    </cdr:to>
    <cdr:sp macro="" textlink="">
      <cdr:nvSpPr>
        <cdr:cNvPr id="10" name="Straight Connector 9"/>
        <cdr:cNvSpPr/>
      </cdr:nvSpPr>
      <cdr:spPr>
        <a:xfrm xmlns:a="http://schemas.openxmlformats.org/drawingml/2006/main" flipV="1">
          <a:off x="7623445" y="373535"/>
          <a:ext cx="0" cy="219456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</cdr:x>
      <cdr:y>0.06928</cdr:y>
    </cdr:from>
    <cdr:to>
      <cdr:x>1</cdr:x>
      <cdr:y>0.87048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0E7A0D91-CCA0-40DA-ACA4-A6C20707BC0A}"/>
            </a:ext>
          </a:extLst>
        </cdr:cNvPr>
        <cdr:cNvCxnSpPr/>
      </cdr:nvCxnSpPr>
      <cdr:spPr>
        <a:xfrm xmlns:a="http://schemas.openxmlformats.org/drawingml/2006/main">
          <a:off x="12696825" y="219075"/>
          <a:ext cx="0" cy="253365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 cap="flat" cmpd="sng" algn="ctr">
          <a:solidFill>
            <a:srgbClr val="4F81BD">
              <a:shade val="95000"/>
              <a:satMod val="105000"/>
            </a:srgbClr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0.86789</cdr:x>
      <cdr:y>0.07027</cdr:y>
    </cdr:from>
    <cdr:to>
      <cdr:x>0.86789</cdr:x>
      <cdr:y>0.87148</cdr:y>
    </cdr:to>
    <cdr:sp macro="" textlink="">
      <cdr:nvSpPr>
        <cdr:cNvPr id="10" name="Straight Connector 9"/>
        <cdr:cNvSpPr/>
      </cdr:nvSpPr>
      <cdr:spPr>
        <a:xfrm xmlns:a="http://schemas.openxmlformats.org/drawingml/2006/main" flipV="1">
          <a:off x="7567415" y="227859"/>
          <a:ext cx="0" cy="2597861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296333</xdr:colOff>
      <xdr:row>8</xdr:row>
      <xdr:rowOff>31744</xdr:rowOff>
    </xdr:from>
    <xdr:to>
      <xdr:col>24</xdr:col>
      <xdr:colOff>74084</xdr:colOff>
      <xdr:row>23</xdr:row>
      <xdr:rowOff>137577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285750</xdr:colOff>
      <xdr:row>24</xdr:row>
      <xdr:rowOff>21163</xdr:rowOff>
    </xdr:from>
    <xdr:to>
      <xdr:col>24</xdr:col>
      <xdr:colOff>52916</xdr:colOff>
      <xdr:row>42</xdr:row>
      <xdr:rowOff>137579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285750</xdr:colOff>
      <xdr:row>43</xdr:row>
      <xdr:rowOff>137578</xdr:rowOff>
    </xdr:from>
    <xdr:to>
      <xdr:col>24</xdr:col>
      <xdr:colOff>52917</xdr:colOff>
      <xdr:row>62</xdr:row>
      <xdr:rowOff>95244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0.83886</cdr:x>
      <cdr:y>0.11458</cdr:y>
    </cdr:from>
    <cdr:to>
      <cdr:x>0.94762</cdr:x>
      <cdr:y>0.87847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F0C74D4-FD01-4E56-97AF-DFE6682C6B3B}"/>
            </a:ext>
          </a:extLst>
        </cdr:cNvPr>
        <cdr:cNvSpPr/>
      </cdr:nvSpPr>
      <cdr:spPr>
        <a:xfrm xmlns:a="http://schemas.openxmlformats.org/drawingml/2006/main">
          <a:off x="3481916" y="314316"/>
          <a:ext cx="451449" cy="209550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4">
            <a:alpha val="14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vert="vert270"/>
        <a:lstStyle xmlns:a="http://schemas.openxmlformats.org/drawingml/2006/main"/>
        <a:p xmlns:a="http://schemas.openxmlformats.org/drawingml/2006/main">
          <a:pPr algn="ctr"/>
          <a:r>
            <a:rPr lang="en-US" i="1">
              <a:solidFill>
                <a:sysClr val="windowText" lastClr="000000"/>
              </a:solidFill>
            </a:rPr>
            <a:t>Out of Time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0.83886</cdr:x>
      <cdr:y>0.11458</cdr:y>
    </cdr:from>
    <cdr:to>
      <cdr:x>0.94762</cdr:x>
      <cdr:y>0.87847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F0C74D4-FD01-4E56-97AF-DFE6682C6B3B}"/>
            </a:ext>
          </a:extLst>
        </cdr:cNvPr>
        <cdr:cNvSpPr/>
      </cdr:nvSpPr>
      <cdr:spPr>
        <a:xfrm xmlns:a="http://schemas.openxmlformats.org/drawingml/2006/main">
          <a:off x="3481916" y="314316"/>
          <a:ext cx="451449" cy="209550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4">
            <a:alpha val="14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vert="vert270"/>
        <a:lstStyle xmlns:a="http://schemas.openxmlformats.org/drawingml/2006/main"/>
        <a:p xmlns:a="http://schemas.openxmlformats.org/drawingml/2006/main">
          <a:pPr algn="ctr"/>
          <a:r>
            <a:rPr lang="en-US" i="1">
              <a:solidFill>
                <a:sysClr val="windowText" lastClr="000000"/>
              </a:solidFill>
            </a:rPr>
            <a:t>Out of Time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0.83886</cdr:x>
      <cdr:y>0.11458</cdr:y>
    </cdr:from>
    <cdr:to>
      <cdr:x>0.94762</cdr:x>
      <cdr:y>0.87847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F0C74D4-FD01-4E56-97AF-DFE6682C6B3B}"/>
            </a:ext>
          </a:extLst>
        </cdr:cNvPr>
        <cdr:cNvSpPr/>
      </cdr:nvSpPr>
      <cdr:spPr>
        <a:xfrm xmlns:a="http://schemas.openxmlformats.org/drawingml/2006/main">
          <a:off x="3481916" y="314316"/>
          <a:ext cx="451449" cy="209550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4">
            <a:alpha val="14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vert="vert270"/>
        <a:lstStyle xmlns:a="http://schemas.openxmlformats.org/drawingml/2006/main"/>
        <a:p xmlns:a="http://schemas.openxmlformats.org/drawingml/2006/main">
          <a:pPr algn="ctr"/>
          <a:r>
            <a:rPr lang="en-US" i="1">
              <a:solidFill>
                <a:sysClr val="windowText" lastClr="000000"/>
              </a:solidFill>
            </a:rPr>
            <a:t>Out of Time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7</xdr:col>
      <xdr:colOff>600075</xdr:colOff>
      <xdr:row>27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10</xdr:row>
      <xdr:rowOff>0</xdr:rowOff>
    </xdr:from>
    <xdr:to>
      <xdr:col>15</xdr:col>
      <xdr:colOff>600075</xdr:colOff>
      <xdr:row>27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384360</xdr:colOff>
      <xdr:row>29</xdr:row>
      <xdr:rowOff>123825</xdr:rowOff>
    </xdr:from>
    <xdr:to>
      <xdr:col>22</xdr:col>
      <xdr:colOff>302559</xdr:colOff>
      <xdr:row>49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D95BAE-CD4B-434B-AFFB-BA0E6154E0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10</xdr:row>
      <xdr:rowOff>0</xdr:rowOff>
    </xdr:from>
    <xdr:to>
      <xdr:col>31</xdr:col>
      <xdr:colOff>600075</xdr:colOff>
      <xdr:row>27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5A5DB64-BF23-46B0-BD30-97ED7C488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10</xdr:row>
      <xdr:rowOff>0</xdr:rowOff>
    </xdr:from>
    <xdr:to>
      <xdr:col>23</xdr:col>
      <xdr:colOff>600075</xdr:colOff>
      <xdr:row>27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FF81CBC-29CE-4CB2-961A-AE5BD0F3C3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358588</xdr:colOff>
      <xdr:row>51</xdr:row>
      <xdr:rowOff>145676</xdr:rowOff>
    </xdr:from>
    <xdr:to>
      <xdr:col>22</xdr:col>
      <xdr:colOff>276787</xdr:colOff>
      <xdr:row>71</xdr:row>
      <xdr:rowOff>69476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AD7254DF-E7AF-4F78-91C2-FC0949CA48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14</xdr:col>
      <xdr:colOff>85725</xdr:colOff>
      <xdr:row>21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F053853-2777-4451-9467-FC39BFEF62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3"/>
  <sheetViews>
    <sheetView showGridLines="0" zoomScaleNormal="100" workbookViewId="0">
      <selection activeCell="L29" sqref="L29"/>
    </sheetView>
  </sheetViews>
  <sheetFormatPr defaultRowHeight="12"/>
  <cols>
    <col min="1" max="6" width="8.28515625" style="9" bestFit="1" customWidth="1"/>
    <col min="7" max="7" width="8.85546875" style="9" bestFit="1" customWidth="1"/>
    <col min="8" max="8" width="13.28515625" style="9" bestFit="1" customWidth="1"/>
    <col min="9" max="9" width="8.28515625" style="9" bestFit="1" customWidth="1"/>
    <col min="10" max="10" width="8.85546875" style="9" bestFit="1" customWidth="1"/>
    <col min="11" max="11" width="9.7109375" style="9" bestFit="1" customWidth="1"/>
    <col min="12" max="14" width="7.85546875" style="9" customWidth="1"/>
    <col min="15" max="15" width="12.140625" style="9" customWidth="1"/>
    <col min="16" max="16384" width="9.140625" style="9"/>
  </cols>
  <sheetData>
    <row r="1" spans="1:17" ht="12" customHeight="1">
      <c r="A1" s="139" t="s">
        <v>85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 t="s">
        <v>84</v>
      </c>
      <c r="M1" s="137"/>
      <c r="N1" s="137"/>
    </row>
    <row r="2" spans="1:17">
      <c r="A2" s="140" t="s">
        <v>83</v>
      </c>
      <c r="B2" s="141"/>
      <c r="C2" s="141"/>
      <c r="D2" s="141"/>
      <c r="E2" s="141"/>
      <c r="F2" s="141"/>
      <c r="G2" s="140" t="s">
        <v>82</v>
      </c>
      <c r="H2" s="141"/>
      <c r="I2" s="142" t="s">
        <v>81</v>
      </c>
      <c r="J2" s="140" t="s">
        <v>80</v>
      </c>
      <c r="K2" s="141"/>
      <c r="L2" s="138" t="s">
        <v>79</v>
      </c>
      <c r="M2" s="138"/>
      <c r="N2" s="57" t="s">
        <v>18</v>
      </c>
    </row>
    <row r="3" spans="1:17" ht="24">
      <c r="A3" s="56" t="s">
        <v>78</v>
      </c>
      <c r="B3" s="56" t="s">
        <v>77</v>
      </c>
      <c r="C3" s="56" t="s">
        <v>76</v>
      </c>
      <c r="D3" s="56" t="s">
        <v>75</v>
      </c>
      <c r="E3" s="56" t="s">
        <v>74</v>
      </c>
      <c r="F3" s="56" t="s">
        <v>73</v>
      </c>
      <c r="G3" s="56" t="s">
        <v>64</v>
      </c>
      <c r="H3" s="56" t="s">
        <v>63</v>
      </c>
      <c r="I3" s="142"/>
      <c r="J3" s="56" t="s">
        <v>72</v>
      </c>
      <c r="K3" s="56" t="s">
        <v>71</v>
      </c>
      <c r="L3" s="58" t="s">
        <v>69</v>
      </c>
      <c r="M3" s="58" t="s">
        <v>70</v>
      </c>
      <c r="N3" s="58" t="s">
        <v>69</v>
      </c>
    </row>
    <row r="4" spans="1:17">
      <c r="A4" s="51">
        <v>5.5119999999999996</v>
      </c>
      <c r="B4" s="51">
        <v>7.2236000000000002</v>
      </c>
      <c r="C4" s="51">
        <v>6.9730999999999996</v>
      </c>
      <c r="D4" s="51">
        <v>8.9338800000000003</v>
      </c>
      <c r="E4" s="51">
        <v>7.9131299999999998</v>
      </c>
      <c r="F4" s="51">
        <v>7.8445600000000004</v>
      </c>
      <c r="G4" s="52">
        <v>-9.8999999999999999E-4</v>
      </c>
      <c r="H4" s="51">
        <v>0.34682000000000002</v>
      </c>
      <c r="I4" s="53">
        <v>0.05</v>
      </c>
      <c r="J4" s="52">
        <v>-7.6542300000000001</v>
      </c>
      <c r="K4" s="52">
        <v>-13.2189</v>
      </c>
      <c r="L4" s="54">
        <v>8.2899999999999998E-4</v>
      </c>
      <c r="M4" s="55">
        <f t="shared" ref="M4:M23" si="0">(L4-MIN($L$4:$L$23))/MIN($L$4:$L$23)</f>
        <v>0.95058823529411773</v>
      </c>
      <c r="N4" s="54">
        <v>1.7420000000000001E-3</v>
      </c>
    </row>
    <row r="5" spans="1:17">
      <c r="A5" s="51">
        <v>5.54399</v>
      </c>
      <c r="B5" s="51">
        <v>7.25509</v>
      </c>
      <c r="C5" s="51">
        <v>7.0039800000000003</v>
      </c>
      <c r="D5" s="51">
        <v>8.9647199999999998</v>
      </c>
      <c r="E5" s="51">
        <v>7.9439099999999998</v>
      </c>
      <c r="F5" s="51">
        <v>7.8748100000000001</v>
      </c>
      <c r="G5" s="52">
        <v>-1.1220000000000001E-2</v>
      </c>
      <c r="H5" s="51">
        <v>0.33224999999999999</v>
      </c>
      <c r="I5" s="53">
        <v>0.1</v>
      </c>
      <c r="J5" s="52">
        <v>-7.4570800000000004</v>
      </c>
      <c r="K5" s="52">
        <v>-12.9953</v>
      </c>
      <c r="L5" s="54">
        <v>7.8399999999999997E-4</v>
      </c>
      <c r="M5" s="55">
        <f t="shared" si="0"/>
        <v>0.8447058823529412</v>
      </c>
      <c r="N5" s="54">
        <v>1.5989999999999999E-3</v>
      </c>
    </row>
    <row r="6" spans="1:17">
      <c r="A6" s="51">
        <v>5.5767899999999999</v>
      </c>
      <c r="B6" s="51">
        <v>7.2874100000000004</v>
      </c>
      <c r="C6" s="51">
        <v>7.0357000000000003</v>
      </c>
      <c r="D6" s="51">
        <v>8.9963999999999995</v>
      </c>
      <c r="E6" s="51">
        <v>7.9755399999999996</v>
      </c>
      <c r="F6" s="51">
        <v>7.9059100000000004</v>
      </c>
      <c r="G6" s="52">
        <v>-2.1440000000000001E-2</v>
      </c>
      <c r="H6" s="51">
        <v>0.31770999999999999</v>
      </c>
      <c r="I6" s="53">
        <v>0.15</v>
      </c>
      <c r="J6" s="52">
        <v>-7.2607600000000003</v>
      </c>
      <c r="K6" s="52">
        <v>-12.772500000000001</v>
      </c>
      <c r="L6" s="54">
        <v>7.4100000000000001E-4</v>
      </c>
      <c r="M6" s="55">
        <f t="shared" si="0"/>
        <v>0.74352941176470599</v>
      </c>
      <c r="N6" s="54">
        <v>1.4610000000000001E-3</v>
      </c>
    </row>
    <row r="7" spans="1:17">
      <c r="A7" s="51">
        <v>5.6104500000000002</v>
      </c>
      <c r="B7" s="51">
        <v>7.3205799999999996</v>
      </c>
      <c r="C7" s="51">
        <v>7.0682600000000004</v>
      </c>
      <c r="D7" s="51">
        <v>9.0289400000000004</v>
      </c>
      <c r="E7" s="51">
        <v>8.0080500000000008</v>
      </c>
      <c r="F7" s="51">
        <v>7.9378799999999998</v>
      </c>
      <c r="G7" s="52">
        <v>-3.1660000000000001E-2</v>
      </c>
      <c r="H7" s="51">
        <v>0.30320000000000003</v>
      </c>
      <c r="I7" s="53">
        <v>0.2</v>
      </c>
      <c r="J7" s="52">
        <v>-7.0652900000000001</v>
      </c>
      <c r="K7" s="52">
        <v>-12.550700000000001</v>
      </c>
      <c r="L7" s="54">
        <v>6.9899999999999997E-4</v>
      </c>
      <c r="M7" s="55">
        <f t="shared" si="0"/>
        <v>0.64470588235294124</v>
      </c>
      <c r="N7" s="54">
        <v>1.325E-3</v>
      </c>
    </row>
    <row r="8" spans="1:17">
      <c r="A8" s="51">
        <v>5.6449600000000002</v>
      </c>
      <c r="B8" s="51">
        <v>7.3546199999999997</v>
      </c>
      <c r="C8" s="51">
        <v>7.1017000000000001</v>
      </c>
      <c r="D8" s="51">
        <v>9.06236</v>
      </c>
      <c r="E8" s="51">
        <v>8.0414399999999997</v>
      </c>
      <c r="F8" s="51">
        <v>7.9707299999999996</v>
      </c>
      <c r="G8" s="52">
        <v>-4.1880000000000001E-2</v>
      </c>
      <c r="H8" s="51">
        <v>0.28870000000000001</v>
      </c>
      <c r="I8" s="53">
        <v>0.25</v>
      </c>
      <c r="J8" s="52">
        <v>-6.8706899999999997</v>
      </c>
      <c r="K8" s="52">
        <v>-12.3299</v>
      </c>
      <c r="L8" s="54">
        <v>6.5799999999999995E-4</v>
      </c>
      <c r="M8" s="55">
        <f t="shared" si="0"/>
        <v>0.54823529411764704</v>
      </c>
      <c r="N8" s="54">
        <v>1.193E-3</v>
      </c>
      <c r="P8" s="49"/>
      <c r="Q8" s="49"/>
    </row>
    <row r="9" spans="1:17">
      <c r="A9" s="51">
        <v>5.6803600000000003</v>
      </c>
      <c r="B9" s="51">
        <v>7.3895499999999998</v>
      </c>
      <c r="C9" s="51">
        <v>7.1360299999999999</v>
      </c>
      <c r="D9" s="51">
        <v>9.0966799999999992</v>
      </c>
      <c r="E9" s="51">
        <v>8.0757300000000001</v>
      </c>
      <c r="F9" s="51">
        <v>8.0045000000000002</v>
      </c>
      <c r="G9" s="52">
        <v>-5.2089999999999997E-2</v>
      </c>
      <c r="H9" s="51">
        <v>0.27423999999999998</v>
      </c>
      <c r="I9" s="53">
        <v>0.3</v>
      </c>
      <c r="J9" s="52">
        <v>-6.6769699999999998</v>
      </c>
      <c r="K9" s="52">
        <v>-12.11</v>
      </c>
      <c r="L9" s="54">
        <v>6.2E-4</v>
      </c>
      <c r="M9" s="55">
        <f t="shared" si="0"/>
        <v>0.4588235294117648</v>
      </c>
      <c r="N9" s="54">
        <v>1.065E-3</v>
      </c>
      <c r="P9" s="49"/>
      <c r="Q9" s="49"/>
    </row>
    <row r="10" spans="1:17">
      <c r="A10" s="51">
        <v>5.7166499999999996</v>
      </c>
      <c r="B10" s="51">
        <v>7.42537</v>
      </c>
      <c r="C10" s="51">
        <v>7.1712600000000002</v>
      </c>
      <c r="D10" s="51">
        <v>9.1319099999999995</v>
      </c>
      <c r="E10" s="51">
        <v>8.1109500000000008</v>
      </c>
      <c r="F10" s="51">
        <v>8.03918</v>
      </c>
      <c r="G10" s="52">
        <v>-6.2300000000000001E-2</v>
      </c>
      <c r="H10" s="51">
        <v>0.25979999999999998</v>
      </c>
      <c r="I10" s="53">
        <v>0.35</v>
      </c>
      <c r="J10" s="52">
        <v>-6.4841300000000004</v>
      </c>
      <c r="K10" s="52">
        <v>-11.8912</v>
      </c>
      <c r="L10" s="54">
        <v>5.8399999999999999E-4</v>
      </c>
      <c r="M10" s="55">
        <f t="shared" si="0"/>
        <v>0.37411764705882361</v>
      </c>
      <c r="N10" s="54">
        <v>9.3999999999999997E-4</v>
      </c>
      <c r="P10" s="49"/>
      <c r="Q10" s="49"/>
    </row>
    <row r="11" spans="1:17">
      <c r="A11" s="51">
        <v>5.7538600000000004</v>
      </c>
      <c r="B11" s="51">
        <v>7.4621199999999996</v>
      </c>
      <c r="C11" s="51">
        <v>7.2074100000000003</v>
      </c>
      <c r="D11" s="51">
        <v>9.1680700000000002</v>
      </c>
      <c r="E11" s="51">
        <v>8.1471099999999996</v>
      </c>
      <c r="F11" s="51">
        <v>8.0748099999999994</v>
      </c>
      <c r="G11" s="52">
        <v>-7.2489999999999999E-2</v>
      </c>
      <c r="H11" s="51">
        <v>0.24537999999999999</v>
      </c>
      <c r="I11" s="53">
        <v>0.4</v>
      </c>
      <c r="J11" s="52">
        <v>-6.2922000000000002</v>
      </c>
      <c r="K11" s="52">
        <v>-11.673299999999999</v>
      </c>
      <c r="L11" s="54">
        <v>5.5099999999999995E-4</v>
      </c>
      <c r="M11" s="55">
        <f t="shared" si="0"/>
        <v>0.2964705882352941</v>
      </c>
      <c r="N11" s="54">
        <v>8.1899999999999996E-4</v>
      </c>
      <c r="P11" s="49"/>
      <c r="Q11" s="49"/>
    </row>
    <row r="12" spans="1:17">
      <c r="A12" s="51">
        <v>5.7919999999999998</v>
      </c>
      <c r="B12" s="51">
        <v>7.4997999999999996</v>
      </c>
      <c r="C12" s="51">
        <v>7.2445000000000004</v>
      </c>
      <c r="D12" s="51">
        <v>9.2051700000000007</v>
      </c>
      <c r="E12" s="51">
        <v>8.1842199999999998</v>
      </c>
      <c r="F12" s="51">
        <v>8.1113900000000001</v>
      </c>
      <c r="G12" s="52">
        <v>-8.2669999999999993E-2</v>
      </c>
      <c r="H12" s="51">
        <v>0.23099</v>
      </c>
      <c r="I12" s="53">
        <v>0.45</v>
      </c>
      <c r="J12" s="52">
        <v>-6.1011899999999999</v>
      </c>
      <c r="K12" s="52">
        <v>-11.4565</v>
      </c>
      <c r="L12" s="54">
        <v>5.1999999999999995E-4</v>
      </c>
      <c r="M12" s="55">
        <f t="shared" si="0"/>
        <v>0.22352941176470584</v>
      </c>
      <c r="N12" s="54">
        <v>7.0299999999999996E-4</v>
      </c>
      <c r="P12" s="49"/>
      <c r="Q12" s="49"/>
    </row>
    <row r="13" spans="1:17" s="47" customFormat="1">
      <c r="A13" s="64">
        <v>5.8310899999999997</v>
      </c>
      <c r="B13" s="64">
        <v>7.53843</v>
      </c>
      <c r="C13" s="64">
        <v>7.28254</v>
      </c>
      <c r="D13" s="64">
        <v>9.2432400000000001</v>
      </c>
      <c r="E13" s="64">
        <v>8.2223000000000006</v>
      </c>
      <c r="F13" s="64">
        <v>8.1489399999999996</v>
      </c>
      <c r="G13" s="65">
        <v>-9.2840000000000006E-2</v>
      </c>
      <c r="H13" s="64">
        <v>0.21662000000000001</v>
      </c>
      <c r="I13" s="66">
        <v>0.5</v>
      </c>
      <c r="J13" s="65">
        <v>-5.9111099999999999</v>
      </c>
      <c r="K13" s="65">
        <v>-11.2407</v>
      </c>
      <c r="L13" s="67">
        <v>4.9299999999999995E-4</v>
      </c>
      <c r="M13" s="68">
        <f t="shared" si="0"/>
        <v>0.15999999999999995</v>
      </c>
      <c r="N13" s="67">
        <v>5.9199999999999997E-4</v>
      </c>
      <c r="O13" s="47">
        <v>3</v>
      </c>
      <c r="P13" s="48" t="s">
        <v>108</v>
      </c>
      <c r="Q13" s="48"/>
    </row>
    <row r="14" spans="1:17">
      <c r="A14" s="59">
        <v>5.87113</v>
      </c>
      <c r="B14" s="59">
        <v>7.5780200000000004</v>
      </c>
      <c r="C14" s="59">
        <v>7.3215500000000002</v>
      </c>
      <c r="D14" s="59">
        <v>9.2822800000000001</v>
      </c>
      <c r="E14" s="59">
        <v>8.2613699999999994</v>
      </c>
      <c r="F14" s="59">
        <v>8.1874800000000008</v>
      </c>
      <c r="G14" s="60">
        <v>-0.10299999999999999</v>
      </c>
      <c r="H14" s="59">
        <v>0.20227999999999999</v>
      </c>
      <c r="I14" s="61">
        <v>0.55000000000000004</v>
      </c>
      <c r="J14" s="60">
        <v>-5.7219800000000003</v>
      </c>
      <c r="K14" s="60">
        <v>-11.026</v>
      </c>
      <c r="L14" s="62">
        <v>4.6999999999999999E-4</v>
      </c>
      <c r="M14" s="63">
        <f t="shared" si="0"/>
        <v>0.1058823529411765</v>
      </c>
      <c r="N14" s="62">
        <v>4.8700000000000002E-4</v>
      </c>
      <c r="P14" s="49"/>
      <c r="Q14" s="49"/>
    </row>
    <row r="15" spans="1:17" s="47" customFormat="1">
      <c r="A15" s="109">
        <v>5.9121600000000001</v>
      </c>
      <c r="B15" s="109">
        <v>7.6185999999999998</v>
      </c>
      <c r="C15" s="109">
        <v>7.3615500000000003</v>
      </c>
      <c r="D15" s="109">
        <v>9.3223099999999999</v>
      </c>
      <c r="E15" s="109">
        <v>8.3014399999999995</v>
      </c>
      <c r="F15" s="109">
        <v>8.2270199999999996</v>
      </c>
      <c r="G15" s="110">
        <v>-0.11314</v>
      </c>
      <c r="H15" s="109">
        <v>0.18797</v>
      </c>
      <c r="I15" s="111">
        <v>0.6</v>
      </c>
      <c r="J15" s="110">
        <v>-5.5338000000000003</v>
      </c>
      <c r="K15" s="110">
        <v>-10.8123</v>
      </c>
      <c r="L15" s="67">
        <v>4.5199999999999998E-4</v>
      </c>
      <c r="M15" s="68">
        <f t="shared" si="0"/>
        <v>6.3529411764705904E-2</v>
      </c>
      <c r="N15" s="67">
        <v>3.9199999999999999E-4</v>
      </c>
      <c r="O15" s="47">
        <v>2</v>
      </c>
      <c r="P15" s="48" t="s">
        <v>109</v>
      </c>
      <c r="Q15" s="48"/>
    </row>
    <row r="16" spans="1:17" s="47" customFormat="1">
      <c r="A16" s="64">
        <v>5.95418</v>
      </c>
      <c r="B16" s="64">
        <v>7.6601800000000004</v>
      </c>
      <c r="C16" s="64">
        <v>7.4025400000000001</v>
      </c>
      <c r="D16" s="64">
        <v>9.3633500000000005</v>
      </c>
      <c r="E16" s="64">
        <v>8.3425200000000004</v>
      </c>
      <c r="F16" s="64">
        <v>8.2675800000000006</v>
      </c>
      <c r="G16" s="65">
        <v>-0.12325999999999999</v>
      </c>
      <c r="H16" s="64">
        <v>0.17368</v>
      </c>
      <c r="I16" s="66">
        <v>0.65</v>
      </c>
      <c r="J16" s="65">
        <v>-5.34659</v>
      </c>
      <c r="K16" s="65">
        <v>-10.5998</v>
      </c>
      <c r="L16" s="67">
        <v>4.3800000000000002E-4</v>
      </c>
      <c r="M16" s="68">
        <f t="shared" si="0"/>
        <v>3.0588235294117753E-2</v>
      </c>
      <c r="N16" s="67">
        <v>3.1199999999999999E-4</v>
      </c>
      <c r="O16" s="47">
        <v>1</v>
      </c>
      <c r="P16" s="48" t="s">
        <v>110</v>
      </c>
      <c r="Q16" s="48"/>
    </row>
    <row r="17" spans="1:17">
      <c r="A17" s="51">
        <v>5.9972000000000003</v>
      </c>
      <c r="B17" s="51">
        <v>7.7027599999999996</v>
      </c>
      <c r="C17" s="51">
        <v>7.4445499999999996</v>
      </c>
      <c r="D17" s="51">
        <v>9.4054099999999998</v>
      </c>
      <c r="E17" s="51">
        <v>8.3846399999999992</v>
      </c>
      <c r="F17" s="51">
        <v>8.3091600000000003</v>
      </c>
      <c r="G17" s="52">
        <v>-0.13336000000000001</v>
      </c>
      <c r="H17" s="51">
        <v>0.15941</v>
      </c>
      <c r="I17" s="53">
        <v>0.7</v>
      </c>
      <c r="J17" s="52">
        <v>-5.1603599999999998</v>
      </c>
      <c r="K17" s="52">
        <v>-10.388299999999999</v>
      </c>
      <c r="L17" s="54">
        <v>4.2900000000000002E-4</v>
      </c>
      <c r="M17" s="55">
        <f t="shared" si="0"/>
        <v>9.4117647058824545E-3</v>
      </c>
      <c r="N17" s="54">
        <v>2.5900000000000001E-4</v>
      </c>
      <c r="P17" s="49"/>
      <c r="Q17" s="49"/>
    </row>
    <row r="18" spans="1:17">
      <c r="A18" s="51">
        <v>6.0412400000000002</v>
      </c>
      <c r="B18" s="51">
        <v>7.7463699999999998</v>
      </c>
      <c r="C18" s="51">
        <v>7.4875800000000003</v>
      </c>
      <c r="D18" s="51">
        <v>9.4484999999999992</v>
      </c>
      <c r="E18" s="51">
        <v>8.4277899999999999</v>
      </c>
      <c r="F18" s="51">
        <v>8.3517899999999994</v>
      </c>
      <c r="G18" s="52">
        <v>-0.14344999999999999</v>
      </c>
      <c r="H18" s="51">
        <v>0.14516999999999999</v>
      </c>
      <c r="I18" s="53">
        <v>0.75</v>
      </c>
      <c r="J18" s="52">
        <v>-4.9751200000000004</v>
      </c>
      <c r="K18" s="52">
        <v>-10.178000000000001</v>
      </c>
      <c r="L18" s="54">
        <v>4.2499999999999998E-4</v>
      </c>
      <c r="M18" s="55">
        <f t="shared" si="0"/>
        <v>0</v>
      </c>
      <c r="N18" s="54">
        <v>2.4600000000000002E-4</v>
      </c>
    </row>
    <row r="19" spans="1:17">
      <c r="A19" s="51">
        <v>6.0863100000000001</v>
      </c>
      <c r="B19" s="51">
        <v>7.79101</v>
      </c>
      <c r="C19" s="51">
        <v>7.53165</v>
      </c>
      <c r="D19" s="51">
        <v>9.4926399999999997</v>
      </c>
      <c r="E19" s="51">
        <v>8.4719999999999995</v>
      </c>
      <c r="F19" s="51">
        <v>8.3954799999999992</v>
      </c>
      <c r="G19" s="52">
        <v>-0.15351000000000001</v>
      </c>
      <c r="H19" s="51">
        <v>0.13095999999999999</v>
      </c>
      <c r="I19" s="53">
        <v>0.8</v>
      </c>
      <c r="J19" s="52">
        <v>-4.7908799999999996</v>
      </c>
      <c r="K19" s="52">
        <v>-9.9687999999999999</v>
      </c>
      <c r="L19" s="54">
        <v>4.2700000000000002E-4</v>
      </c>
      <c r="M19" s="55">
        <f t="shared" si="0"/>
        <v>4.7058823529412914E-3</v>
      </c>
      <c r="N19" s="54">
        <v>2.7700000000000001E-4</v>
      </c>
    </row>
    <row r="20" spans="1:17">
      <c r="A20" s="51">
        <v>6.1324300000000003</v>
      </c>
      <c r="B20" s="51">
        <v>7.8367000000000004</v>
      </c>
      <c r="C20" s="51">
        <v>7.5767800000000003</v>
      </c>
      <c r="D20" s="51">
        <v>9.5378399999999992</v>
      </c>
      <c r="E20" s="51">
        <v>8.5172799999999995</v>
      </c>
      <c r="F20" s="51">
        <v>8.4402299999999997</v>
      </c>
      <c r="G20" s="52">
        <v>-0.16355</v>
      </c>
      <c r="H20" s="51">
        <v>0.11677</v>
      </c>
      <c r="I20" s="53">
        <v>0.85</v>
      </c>
      <c r="J20" s="52">
        <v>-4.6076499999999996</v>
      </c>
      <c r="K20" s="52">
        <v>-9.7606999999999999</v>
      </c>
      <c r="L20" s="54">
        <v>4.3399999999999998E-4</v>
      </c>
      <c r="M20" s="55">
        <f t="shared" si="0"/>
        <v>2.11764705882353E-2</v>
      </c>
      <c r="N20" s="54">
        <v>3.3700000000000001E-4</v>
      </c>
    </row>
    <row r="21" spans="1:17">
      <c r="A21" s="51">
        <v>6.1796100000000003</v>
      </c>
      <c r="B21" s="51">
        <v>7.8834600000000004</v>
      </c>
      <c r="C21" s="51">
        <v>7.6229699999999996</v>
      </c>
      <c r="D21" s="51">
        <v>9.5841200000000004</v>
      </c>
      <c r="E21" s="51">
        <v>8.5636399999999995</v>
      </c>
      <c r="F21" s="51">
        <v>8.4860699999999998</v>
      </c>
      <c r="G21" s="52">
        <v>-0.17357</v>
      </c>
      <c r="H21" s="51">
        <v>0.1026</v>
      </c>
      <c r="I21" s="53">
        <v>0.9</v>
      </c>
      <c r="J21" s="52">
        <v>-4.4254499999999997</v>
      </c>
      <c r="K21" s="52">
        <v>-9.5538000000000007</v>
      </c>
      <c r="L21" s="54">
        <v>4.46E-4</v>
      </c>
      <c r="M21" s="55">
        <f t="shared" si="0"/>
        <v>4.9411764705882412E-2</v>
      </c>
      <c r="N21" s="54">
        <v>4.1199999999999999E-4</v>
      </c>
    </row>
    <row r="22" spans="1:17">
      <c r="A22" s="51">
        <v>6.2278599999999997</v>
      </c>
      <c r="B22" s="51">
        <v>7.9312899999999997</v>
      </c>
      <c r="C22" s="51">
        <v>7.6702399999999997</v>
      </c>
      <c r="D22" s="51">
        <v>9.6314700000000002</v>
      </c>
      <c r="E22" s="51">
        <v>8.6111000000000004</v>
      </c>
      <c r="F22" s="51">
        <v>8.5330100000000009</v>
      </c>
      <c r="G22" s="52">
        <v>-0.18356</v>
      </c>
      <c r="H22" s="52">
        <v>8.8459999999999997E-2</v>
      </c>
      <c r="I22" s="53">
        <v>0.95</v>
      </c>
      <c r="J22" s="52">
        <v>-4.2442799999999998</v>
      </c>
      <c r="K22" s="52">
        <v>-9.3480000000000008</v>
      </c>
      <c r="L22" s="54">
        <v>4.6200000000000001E-4</v>
      </c>
      <c r="M22" s="55">
        <f t="shared" si="0"/>
        <v>8.7058823529411841E-2</v>
      </c>
      <c r="N22" s="54">
        <v>4.9399999999999997E-4</v>
      </c>
    </row>
    <row r="23" spans="1:17">
      <c r="A23" s="51">
        <v>6.27719</v>
      </c>
      <c r="B23" s="51">
        <v>7.9802099999999996</v>
      </c>
      <c r="C23" s="51">
        <v>7.7186000000000003</v>
      </c>
      <c r="D23" s="51">
        <v>9.6799300000000006</v>
      </c>
      <c r="E23" s="51">
        <v>8.6596499999999992</v>
      </c>
      <c r="F23" s="51">
        <v>8.5810399999999998</v>
      </c>
      <c r="G23" s="52">
        <v>-0.19353000000000001</v>
      </c>
      <c r="H23" s="52">
        <v>7.4349999999999999E-2</v>
      </c>
      <c r="I23" s="53">
        <v>1</v>
      </c>
      <c r="J23" s="52">
        <v>-4.0641499999999997</v>
      </c>
      <c r="K23" s="52">
        <v>-9.1434999999999995</v>
      </c>
      <c r="L23" s="54">
        <v>4.8200000000000001E-4</v>
      </c>
      <c r="M23" s="55">
        <f t="shared" si="0"/>
        <v>0.13411764705882362</v>
      </c>
      <c r="N23" s="54">
        <v>5.7899999999999998E-4</v>
      </c>
    </row>
  </sheetData>
  <mergeCells count="7">
    <mergeCell ref="L1:N1"/>
    <mergeCell ref="L2:M2"/>
    <mergeCell ref="A1:K1"/>
    <mergeCell ref="A2:F2"/>
    <mergeCell ref="G2:H2"/>
    <mergeCell ref="J2:K2"/>
    <mergeCell ref="I2:I3"/>
  </mergeCells>
  <conditionalFormatting sqref="L4:M23">
    <cfRule type="dataBar" priority="4">
      <dataBar>
        <cfvo type="min"/>
        <cfvo type="max"/>
        <color rgb="FF638EC6"/>
      </dataBar>
    </cfRule>
  </conditionalFormatting>
  <conditionalFormatting sqref="L4:L23">
    <cfRule type="dataBar" priority="2">
      <dataBar>
        <cfvo type="min"/>
        <cfvo type="max"/>
        <color rgb="FF638EC6"/>
      </dataBar>
    </cfRule>
  </conditionalFormatting>
  <conditionalFormatting sqref="N4:N23">
    <cfRule type="dataBar" priority="143">
      <dataBar>
        <cfvo type="min"/>
        <cfvo type="max"/>
        <color rgb="FF638EC6"/>
      </dataBar>
    </cfRule>
  </conditionalFormatting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5"/>
  <sheetViews>
    <sheetView topLeftCell="A13" zoomScale="85" zoomScaleNormal="85" workbookViewId="0">
      <selection activeCell="G56" sqref="G56"/>
    </sheetView>
  </sheetViews>
  <sheetFormatPr defaultRowHeight="12"/>
  <cols>
    <col min="1" max="1" width="9.140625" style="1"/>
    <col min="2" max="2" width="7.5703125" style="2" bestFit="1" customWidth="1"/>
    <col min="3" max="3" width="6.85546875" style="2" customWidth="1"/>
    <col min="4" max="4" width="9.5703125" style="2" bestFit="1" customWidth="1"/>
    <col min="5" max="5" width="13" style="2" bestFit="1" customWidth="1"/>
    <col min="6" max="16384" width="9.140625" style="1"/>
  </cols>
  <sheetData>
    <row r="1" spans="1:12">
      <c r="A1" s="34"/>
      <c r="B1" s="35"/>
      <c r="C1" s="35"/>
      <c r="D1" s="35"/>
      <c r="E1" s="35"/>
      <c r="F1" s="34"/>
      <c r="G1" s="143" t="s">
        <v>106</v>
      </c>
      <c r="H1" s="143"/>
      <c r="I1" s="143" t="s">
        <v>67</v>
      </c>
      <c r="J1" s="143"/>
      <c r="K1" s="143" t="s">
        <v>68</v>
      </c>
      <c r="L1" s="143"/>
    </row>
    <row r="2" spans="1:12" ht="24">
      <c r="A2" s="34"/>
      <c r="B2" s="8" t="s">
        <v>66</v>
      </c>
      <c r="C2" s="8" t="s">
        <v>65</v>
      </c>
      <c r="D2" s="8" t="s">
        <v>64</v>
      </c>
      <c r="E2" s="8" t="s">
        <v>63</v>
      </c>
      <c r="F2" s="7" t="s">
        <v>6</v>
      </c>
      <c r="G2" s="6" t="s">
        <v>62</v>
      </c>
      <c r="H2" s="6" t="s">
        <v>113</v>
      </c>
      <c r="I2" s="6" t="s">
        <v>62</v>
      </c>
      <c r="J2" s="6" t="s">
        <v>113</v>
      </c>
      <c r="K2" s="6" t="s">
        <v>62</v>
      </c>
      <c r="L2" s="6" t="s">
        <v>113</v>
      </c>
    </row>
    <row r="3" spans="1:12">
      <c r="A3" s="144" t="s">
        <v>61</v>
      </c>
      <c r="B3" s="5" t="s">
        <v>60</v>
      </c>
      <c r="C3" s="36">
        <v>51278</v>
      </c>
      <c r="D3" s="4">
        <v>0.70492299999999997</v>
      </c>
      <c r="E3" s="4">
        <v>0.53312400000000004</v>
      </c>
      <c r="F3" s="3">
        <v>6.5329999999999997E-3</v>
      </c>
      <c r="G3" s="37">
        <v>6.8799999999999998E-3</v>
      </c>
      <c r="H3" s="37">
        <v>6.1199999999999996E-3</v>
      </c>
      <c r="I3" s="37">
        <v>6.8500000000000002E-3</v>
      </c>
      <c r="J3" s="37">
        <v>6.3099999999999996E-3</v>
      </c>
      <c r="K3" s="37">
        <v>6.8399999999999997E-3</v>
      </c>
      <c r="L3" s="37">
        <v>6.4099999999999999E-3</v>
      </c>
    </row>
    <row r="4" spans="1:12">
      <c r="A4" s="144"/>
      <c r="B4" s="5" t="s">
        <v>59</v>
      </c>
      <c r="C4" s="36">
        <v>52033</v>
      </c>
      <c r="D4" s="4">
        <v>0.79964500000000005</v>
      </c>
      <c r="E4" s="4">
        <v>0.73993600000000004</v>
      </c>
      <c r="F4" s="3">
        <v>6.8989999999999998E-3</v>
      </c>
      <c r="G4" s="37">
        <v>7.0699999999999999E-3</v>
      </c>
      <c r="H4" s="37">
        <v>6.0699999999999999E-3</v>
      </c>
      <c r="I4" s="37">
        <v>7.0099999999999997E-3</v>
      </c>
      <c r="J4" s="37">
        <v>6.28E-3</v>
      </c>
      <c r="K4" s="37">
        <v>6.9800000000000001E-3</v>
      </c>
      <c r="L4" s="37">
        <v>6.3899999999999998E-3</v>
      </c>
    </row>
    <row r="5" spans="1:12">
      <c r="A5" s="144"/>
      <c r="B5" s="5" t="s">
        <v>58</v>
      </c>
      <c r="C5" s="36">
        <v>52499</v>
      </c>
      <c r="D5" s="4">
        <v>0.22153800000000001</v>
      </c>
      <c r="E5" s="4">
        <v>0.524119</v>
      </c>
      <c r="F5" s="3">
        <v>7.0860000000000003E-3</v>
      </c>
      <c r="G5" s="37">
        <v>7.0899999999999999E-3</v>
      </c>
      <c r="H5" s="37">
        <v>6.0400000000000002E-3</v>
      </c>
      <c r="I5" s="37">
        <v>7.1500000000000001E-3</v>
      </c>
      <c r="J5" s="37">
        <v>6.2500000000000003E-3</v>
      </c>
      <c r="K5" s="37">
        <v>7.1799999999999998E-3</v>
      </c>
      <c r="L5" s="37">
        <v>6.3600000000000002E-3</v>
      </c>
    </row>
    <row r="6" spans="1:12">
      <c r="A6" s="144"/>
      <c r="B6" s="5" t="s">
        <v>57</v>
      </c>
      <c r="C6" s="36">
        <v>52651</v>
      </c>
      <c r="D6" s="4">
        <v>3.8751000000000001E-2</v>
      </c>
      <c r="E6" s="4">
        <v>0.42574099999999998</v>
      </c>
      <c r="F6" s="3">
        <v>7.0080000000000003E-3</v>
      </c>
      <c r="G6" s="37">
        <v>6.6100000000000004E-3</v>
      </c>
      <c r="H6" s="37">
        <v>5.6499999999999996E-3</v>
      </c>
      <c r="I6" s="37">
        <v>6.6800000000000002E-3</v>
      </c>
      <c r="J6" s="37">
        <v>5.8199999999999997E-3</v>
      </c>
      <c r="K6" s="37">
        <v>6.7099999999999998E-3</v>
      </c>
      <c r="L6" s="37">
        <v>5.9100000000000003E-3</v>
      </c>
    </row>
    <row r="7" spans="1:12">
      <c r="A7" s="144"/>
      <c r="B7" s="5" t="s">
        <v>56</v>
      </c>
      <c r="C7" s="36">
        <v>51998</v>
      </c>
      <c r="D7" s="4">
        <v>0.141595</v>
      </c>
      <c r="E7" s="4">
        <v>0.17574300000000001</v>
      </c>
      <c r="F7" s="3">
        <v>6.1539999999999997E-3</v>
      </c>
      <c r="G7" s="37">
        <v>5.7600000000000004E-3</v>
      </c>
      <c r="H7" s="37">
        <v>5.2399999999999999E-3</v>
      </c>
      <c r="I7" s="37">
        <v>5.7999999999999996E-3</v>
      </c>
      <c r="J7" s="37">
        <v>5.3499999999999997E-3</v>
      </c>
      <c r="K7" s="37">
        <v>5.8199999999999997E-3</v>
      </c>
      <c r="L7" s="37">
        <v>5.4099999999999999E-3</v>
      </c>
    </row>
    <row r="8" spans="1:12">
      <c r="A8" s="144"/>
      <c r="B8" s="5" t="s">
        <v>55</v>
      </c>
      <c r="C8" s="36">
        <v>51577</v>
      </c>
      <c r="D8" s="4">
        <v>0.23594499999999999</v>
      </c>
      <c r="E8" s="4">
        <v>-5.1499999999999997E-2</v>
      </c>
      <c r="F8" s="3">
        <v>6.1269999999999996E-3</v>
      </c>
      <c r="G8" s="37">
        <v>5.4000000000000003E-3</v>
      </c>
      <c r="H8" s="37">
        <v>5.1900000000000002E-3</v>
      </c>
      <c r="I8" s="37">
        <v>5.45E-3</v>
      </c>
      <c r="J8" s="37">
        <v>5.3E-3</v>
      </c>
      <c r="K8" s="37">
        <v>5.4799999999999996E-3</v>
      </c>
      <c r="L8" s="37">
        <v>5.3499999999999997E-3</v>
      </c>
    </row>
    <row r="9" spans="1:12">
      <c r="A9" s="144"/>
      <c r="B9" s="5" t="s">
        <v>54</v>
      </c>
      <c r="C9" s="36">
        <v>51129</v>
      </c>
      <c r="D9" s="4">
        <v>0.19911799999999999</v>
      </c>
      <c r="E9" s="4">
        <v>-0.36503000000000002</v>
      </c>
      <c r="F9" s="3">
        <v>6.3169999999999997E-3</v>
      </c>
      <c r="G9" s="37">
        <v>5.0400000000000002E-3</v>
      </c>
      <c r="H9" s="37">
        <v>5.1599999999999997E-3</v>
      </c>
      <c r="I9" s="37">
        <v>5.1200000000000004E-3</v>
      </c>
      <c r="J9" s="37">
        <v>5.2500000000000003E-3</v>
      </c>
      <c r="K9" s="37">
        <v>5.1599999999999997E-3</v>
      </c>
      <c r="L9" s="37">
        <v>5.2900000000000004E-3</v>
      </c>
    </row>
    <row r="10" spans="1:12">
      <c r="A10" s="144"/>
      <c r="B10" s="5" t="s">
        <v>53</v>
      </c>
      <c r="C10" s="36">
        <v>49984</v>
      </c>
      <c r="D10" s="4">
        <v>0.25814799999999999</v>
      </c>
      <c r="E10" s="4">
        <v>-0.55654999999999999</v>
      </c>
      <c r="F10" s="3">
        <v>5.5620000000000001E-3</v>
      </c>
      <c r="G10" s="37">
        <v>4.7400000000000003E-3</v>
      </c>
      <c r="H10" s="37">
        <v>5.0800000000000003E-3</v>
      </c>
      <c r="I10" s="37">
        <v>4.8399999999999997E-3</v>
      </c>
      <c r="J10" s="37">
        <v>5.1700000000000001E-3</v>
      </c>
      <c r="K10" s="37">
        <v>4.8900000000000002E-3</v>
      </c>
      <c r="L10" s="37">
        <v>5.2100000000000002E-3</v>
      </c>
    </row>
    <row r="11" spans="1:12">
      <c r="A11" s="144"/>
      <c r="B11" s="5" t="s">
        <v>52</v>
      </c>
      <c r="C11" s="36">
        <v>49016</v>
      </c>
      <c r="D11" s="4">
        <v>0.13233700000000001</v>
      </c>
      <c r="E11" s="4">
        <v>-0.62000999999999995</v>
      </c>
      <c r="F11" s="3">
        <v>4.4270000000000004E-3</v>
      </c>
      <c r="G11" s="37">
        <v>4.7200000000000002E-3</v>
      </c>
      <c r="H11" s="37">
        <v>5.0600000000000003E-3</v>
      </c>
      <c r="I11" s="37">
        <v>4.8300000000000001E-3</v>
      </c>
      <c r="J11" s="37">
        <v>5.1399999999999996E-3</v>
      </c>
      <c r="K11" s="37">
        <v>4.8900000000000002E-3</v>
      </c>
      <c r="L11" s="37">
        <v>5.1900000000000002E-3</v>
      </c>
    </row>
    <row r="12" spans="1:12">
      <c r="A12" s="144"/>
      <c r="B12" s="5" t="s">
        <v>51</v>
      </c>
      <c r="C12" s="36">
        <v>48330</v>
      </c>
      <c r="D12" s="4">
        <v>-0.18554000000000001</v>
      </c>
      <c r="E12" s="4">
        <v>-0.65902000000000005</v>
      </c>
      <c r="F12" s="3">
        <v>4.718E-3</v>
      </c>
      <c r="G12" s="37">
        <v>4.9300000000000004E-3</v>
      </c>
      <c r="H12" s="37">
        <v>5.1799999999999997E-3</v>
      </c>
      <c r="I12" s="37">
        <v>5.0699999999999999E-3</v>
      </c>
      <c r="J12" s="37">
        <v>5.2500000000000003E-3</v>
      </c>
      <c r="K12" s="37">
        <v>5.1399999999999996E-3</v>
      </c>
      <c r="L12" s="37">
        <v>5.28E-3</v>
      </c>
    </row>
    <row r="13" spans="1:12">
      <c r="A13" s="144"/>
      <c r="B13" s="5" t="s">
        <v>50</v>
      </c>
      <c r="C13" s="36">
        <v>47410</v>
      </c>
      <c r="D13" s="4">
        <v>-0.1981</v>
      </c>
      <c r="E13" s="4">
        <v>-0.68066000000000004</v>
      </c>
      <c r="F13" s="3">
        <v>4.8929999999999998E-3</v>
      </c>
      <c r="G13" s="37">
        <v>4.7699999999999999E-3</v>
      </c>
      <c r="H13" s="37">
        <v>5.0299999999999997E-3</v>
      </c>
      <c r="I13" s="37">
        <v>4.8999999999999998E-3</v>
      </c>
      <c r="J13" s="37">
        <v>5.0899999999999999E-3</v>
      </c>
      <c r="K13" s="37">
        <v>4.9699999999999996E-3</v>
      </c>
      <c r="L13" s="37">
        <v>5.11E-3</v>
      </c>
    </row>
    <row r="14" spans="1:12">
      <c r="A14" s="144"/>
      <c r="B14" s="5" t="s">
        <v>49</v>
      </c>
      <c r="C14" s="36">
        <v>46349</v>
      </c>
      <c r="D14" s="4">
        <v>-0.1535</v>
      </c>
      <c r="E14" s="4">
        <v>-0.74297000000000002</v>
      </c>
      <c r="F14" s="3">
        <v>4.3800000000000002E-3</v>
      </c>
      <c r="G14" s="37">
        <v>4.5799999999999999E-3</v>
      </c>
      <c r="H14" s="37">
        <v>4.9100000000000003E-3</v>
      </c>
      <c r="I14" s="37">
        <v>4.6800000000000001E-3</v>
      </c>
      <c r="J14" s="37">
        <v>4.9399999999999999E-3</v>
      </c>
      <c r="K14" s="37">
        <v>4.7299999999999998E-3</v>
      </c>
      <c r="L14" s="37">
        <v>4.9500000000000004E-3</v>
      </c>
    </row>
    <row r="15" spans="1:12">
      <c r="A15" s="144"/>
      <c r="B15" s="5" t="s">
        <v>48</v>
      </c>
      <c r="C15" s="36">
        <v>45813</v>
      </c>
      <c r="D15" s="4">
        <v>7.2604000000000002E-2</v>
      </c>
      <c r="E15" s="4">
        <v>-0.84416000000000002</v>
      </c>
      <c r="F15" s="3">
        <v>4.0159999999999996E-3</v>
      </c>
      <c r="G15" s="37">
        <v>4.2399999999999998E-3</v>
      </c>
      <c r="H15" s="37">
        <v>4.7400000000000003E-3</v>
      </c>
      <c r="I15" s="37">
        <v>4.3E-3</v>
      </c>
      <c r="J15" s="37">
        <v>4.7299999999999998E-3</v>
      </c>
      <c r="K15" s="37">
        <v>4.3200000000000001E-3</v>
      </c>
      <c r="L15" s="37">
        <v>4.7299999999999998E-3</v>
      </c>
    </row>
    <row r="16" spans="1:12">
      <c r="A16" s="144"/>
      <c r="B16" s="5" t="s">
        <v>47</v>
      </c>
      <c r="C16" s="36">
        <v>45549</v>
      </c>
      <c r="D16" s="4">
        <v>0.123625</v>
      </c>
      <c r="E16" s="4">
        <v>-0.78500000000000003</v>
      </c>
      <c r="F16" s="3">
        <v>4.084E-3</v>
      </c>
      <c r="G16" s="37">
        <v>4.1700000000000001E-3</v>
      </c>
      <c r="H16" s="37">
        <v>4.6299999999999996E-3</v>
      </c>
      <c r="I16" s="37">
        <v>4.1900000000000001E-3</v>
      </c>
      <c r="J16" s="37">
        <v>4.5900000000000003E-3</v>
      </c>
      <c r="K16" s="37">
        <v>4.1999999999999997E-3</v>
      </c>
      <c r="L16" s="37">
        <v>4.5700000000000003E-3</v>
      </c>
    </row>
    <row r="17" spans="1:12">
      <c r="A17" s="144"/>
      <c r="B17" s="5" t="s">
        <v>46</v>
      </c>
      <c r="C17" s="36">
        <v>45094</v>
      </c>
      <c r="D17" s="4">
        <v>6.9665000000000005E-2</v>
      </c>
      <c r="E17" s="4">
        <v>-0.66822000000000004</v>
      </c>
      <c r="F17" s="3">
        <v>3.9249999999999997E-3</v>
      </c>
      <c r="G17" s="37">
        <v>4.1999999999999997E-3</v>
      </c>
      <c r="H17" s="37">
        <v>4.5199999999999997E-3</v>
      </c>
      <c r="I17" s="37">
        <v>4.1799999999999997E-3</v>
      </c>
      <c r="J17" s="37">
        <v>4.45E-3</v>
      </c>
      <c r="K17" s="37">
        <v>4.1700000000000001E-3</v>
      </c>
      <c r="L17" s="37">
        <v>4.4200000000000003E-3</v>
      </c>
    </row>
    <row r="18" spans="1:12">
      <c r="A18" s="144"/>
      <c r="B18" s="5" t="s">
        <v>45</v>
      </c>
      <c r="C18" s="36">
        <v>44344</v>
      </c>
      <c r="D18" s="4">
        <v>-8.3700000000000007E-3</v>
      </c>
      <c r="E18" s="4">
        <v>-0.62919999999999998</v>
      </c>
      <c r="F18" s="3">
        <v>3.5409999999999999E-3</v>
      </c>
      <c r="G18" s="37">
        <v>4.0000000000000001E-3</v>
      </c>
      <c r="H18" s="37">
        <v>4.2300000000000003E-3</v>
      </c>
      <c r="I18" s="37">
        <v>3.96E-3</v>
      </c>
      <c r="J18" s="37">
        <v>4.15E-3</v>
      </c>
      <c r="K18" s="37">
        <v>3.9399999999999999E-3</v>
      </c>
      <c r="L18" s="37">
        <v>4.1000000000000003E-3</v>
      </c>
    </row>
    <row r="19" spans="1:12">
      <c r="A19" s="144"/>
      <c r="B19" s="5" t="s">
        <v>44</v>
      </c>
      <c r="C19" s="36">
        <v>43813</v>
      </c>
      <c r="D19" s="4">
        <v>-1.0699999999999999E-2</v>
      </c>
      <c r="E19" s="4">
        <v>-0.55266000000000004</v>
      </c>
      <c r="F19" s="3">
        <v>3.7659999999999998E-3</v>
      </c>
      <c r="G19" s="37">
        <v>3.98E-3</v>
      </c>
      <c r="H19" s="37">
        <v>4.13E-3</v>
      </c>
      <c r="I19" s="37">
        <v>3.9199999999999999E-3</v>
      </c>
      <c r="J19" s="37">
        <v>4.0400000000000002E-3</v>
      </c>
      <c r="K19" s="37">
        <v>3.8899999999999998E-3</v>
      </c>
      <c r="L19" s="37">
        <v>4.0000000000000001E-3</v>
      </c>
    </row>
    <row r="20" spans="1:12">
      <c r="A20" s="144"/>
      <c r="B20" s="5" t="s">
        <v>43</v>
      </c>
      <c r="C20" s="36">
        <v>43617</v>
      </c>
      <c r="D20" s="4">
        <v>0.11673</v>
      </c>
      <c r="E20" s="4">
        <v>-0.50761000000000001</v>
      </c>
      <c r="F20" s="3">
        <v>3.2330000000000002E-3</v>
      </c>
      <c r="G20" s="37">
        <v>4.0099999999999997E-3</v>
      </c>
      <c r="H20" s="37">
        <v>4.1799999999999997E-3</v>
      </c>
      <c r="I20" s="37">
        <v>3.9300000000000003E-3</v>
      </c>
      <c r="J20" s="37">
        <v>4.0800000000000003E-3</v>
      </c>
      <c r="K20" s="37">
        <v>3.8800000000000002E-3</v>
      </c>
      <c r="L20" s="37">
        <v>4.0200000000000001E-3</v>
      </c>
    </row>
    <row r="21" spans="1:12">
      <c r="A21" s="144"/>
      <c r="B21" s="5" t="s">
        <v>42</v>
      </c>
      <c r="C21" s="36">
        <v>43397</v>
      </c>
      <c r="D21" s="4">
        <v>1.6178000000000001E-2</v>
      </c>
      <c r="E21" s="4">
        <v>-0.53908999999999996</v>
      </c>
      <c r="F21" s="3">
        <v>3.6640000000000002E-3</v>
      </c>
      <c r="G21" s="37">
        <v>4.0000000000000001E-3</v>
      </c>
      <c r="H21" s="37">
        <v>4.1599999999999996E-3</v>
      </c>
      <c r="I21" s="37">
        <v>3.9100000000000003E-3</v>
      </c>
      <c r="J21" s="37">
        <v>4.0299999999999997E-3</v>
      </c>
      <c r="K21" s="37">
        <v>3.8600000000000001E-3</v>
      </c>
      <c r="L21" s="37">
        <v>3.9699999999999996E-3</v>
      </c>
    </row>
    <row r="22" spans="1:12">
      <c r="A22" s="144"/>
      <c r="B22" s="5" t="s">
        <v>41</v>
      </c>
      <c r="C22" s="36">
        <v>42557</v>
      </c>
      <c r="D22" s="4">
        <v>-0.20812</v>
      </c>
      <c r="E22" s="4">
        <v>-0.64544999999999997</v>
      </c>
      <c r="F22" s="3">
        <v>3.454E-3</v>
      </c>
      <c r="G22" s="37">
        <v>3.8700000000000002E-3</v>
      </c>
      <c r="H22" s="37">
        <v>4.0299999999999997E-3</v>
      </c>
      <c r="I22" s="37">
        <v>3.79E-3</v>
      </c>
      <c r="J22" s="37">
        <v>3.8899999999999998E-3</v>
      </c>
      <c r="K22" s="37">
        <v>3.7499999999999999E-3</v>
      </c>
      <c r="L22" s="37">
        <v>3.82E-3</v>
      </c>
    </row>
    <row r="23" spans="1:12">
      <c r="A23" s="144"/>
      <c r="B23" s="5" t="s">
        <v>40</v>
      </c>
      <c r="C23" s="36">
        <v>41547</v>
      </c>
      <c r="D23" s="4">
        <v>-0.46965000000000001</v>
      </c>
      <c r="E23" s="4">
        <v>-0.87931999999999999</v>
      </c>
      <c r="F23" s="3">
        <v>3.7309999999999999E-3</v>
      </c>
      <c r="G23" s="37">
        <v>3.7799999999999999E-3</v>
      </c>
      <c r="H23" s="37">
        <v>4.0299999999999997E-3</v>
      </c>
      <c r="I23" s="37">
        <v>3.7399999999999998E-3</v>
      </c>
      <c r="J23" s="37">
        <v>3.8899999999999998E-3</v>
      </c>
      <c r="K23" s="37">
        <v>3.7200000000000002E-3</v>
      </c>
      <c r="L23" s="37">
        <v>3.82E-3</v>
      </c>
    </row>
    <row r="24" spans="1:12">
      <c r="A24" s="144"/>
      <c r="B24" s="5" t="s">
        <v>39</v>
      </c>
      <c r="C24" s="36">
        <v>41011</v>
      </c>
      <c r="D24" s="4">
        <v>-0.41032999999999997</v>
      </c>
      <c r="E24" s="4">
        <v>-1.17133</v>
      </c>
      <c r="F24" s="3">
        <v>3.6089999999999998E-3</v>
      </c>
      <c r="G24" s="37">
        <v>3.5100000000000001E-3</v>
      </c>
      <c r="H24" s="37">
        <v>4.0000000000000001E-3</v>
      </c>
      <c r="I24" s="37">
        <v>3.47E-3</v>
      </c>
      <c r="J24" s="37">
        <v>3.8300000000000001E-3</v>
      </c>
      <c r="K24" s="37">
        <v>3.4499999999999999E-3</v>
      </c>
      <c r="L24" s="37">
        <v>3.7499999999999999E-3</v>
      </c>
    </row>
    <row r="25" spans="1:12">
      <c r="A25" s="144"/>
      <c r="B25" s="5" t="s">
        <v>38</v>
      </c>
      <c r="C25" s="36">
        <v>39981</v>
      </c>
      <c r="D25" s="4">
        <v>-0.2944</v>
      </c>
      <c r="E25" s="4">
        <v>-1.2151400000000001</v>
      </c>
      <c r="F25" s="3">
        <v>4.202E-3</v>
      </c>
      <c r="G25" s="37">
        <v>3.5100000000000001E-3</v>
      </c>
      <c r="H25" s="37">
        <v>4.0899999999999999E-3</v>
      </c>
      <c r="I25" s="37">
        <v>3.47E-3</v>
      </c>
      <c r="J25" s="37">
        <v>3.9100000000000003E-3</v>
      </c>
      <c r="K25" s="37">
        <v>3.4499999999999999E-3</v>
      </c>
      <c r="L25" s="37">
        <v>3.8300000000000001E-3</v>
      </c>
    </row>
    <row r="26" spans="1:12">
      <c r="A26" s="144"/>
      <c r="B26" s="5" t="s">
        <v>37</v>
      </c>
      <c r="C26" s="36">
        <v>39041</v>
      </c>
      <c r="D26" s="4">
        <v>-0.31508999999999998</v>
      </c>
      <c r="E26" s="4">
        <v>-1.0515099999999999</v>
      </c>
      <c r="F26" s="3">
        <v>4.0980000000000001E-3</v>
      </c>
      <c r="G26" s="37">
        <v>3.64E-3</v>
      </c>
      <c r="H26" s="37">
        <v>4.0800000000000003E-3</v>
      </c>
      <c r="I26" s="37">
        <v>3.5799999999999998E-3</v>
      </c>
      <c r="J26" s="37">
        <v>3.8999999999999998E-3</v>
      </c>
      <c r="K26" s="37">
        <v>3.5400000000000002E-3</v>
      </c>
      <c r="L26" s="37">
        <v>3.81E-3</v>
      </c>
    </row>
    <row r="27" spans="1:12">
      <c r="A27" s="144"/>
      <c r="B27" s="5" t="s">
        <v>36</v>
      </c>
      <c r="C27" s="36">
        <v>27806</v>
      </c>
      <c r="D27" s="4">
        <v>-0.33866000000000002</v>
      </c>
      <c r="E27" s="4">
        <v>-0.71714</v>
      </c>
      <c r="F27" s="3">
        <v>3.7399999999999998E-3</v>
      </c>
      <c r="G27" s="37">
        <v>4.0499999999999998E-3</v>
      </c>
      <c r="H27" s="37">
        <v>4.1999999999999997E-3</v>
      </c>
      <c r="I27" s="37">
        <v>3.9399999999999999E-3</v>
      </c>
      <c r="J27" s="37">
        <v>4.0200000000000001E-3</v>
      </c>
      <c r="K27" s="37">
        <v>3.8899999999999998E-3</v>
      </c>
      <c r="L27" s="37">
        <v>3.9399999999999999E-3</v>
      </c>
    </row>
    <row r="28" spans="1:12">
      <c r="A28" s="144"/>
      <c r="B28" s="5" t="s">
        <v>35</v>
      </c>
      <c r="C28" s="36">
        <v>27464</v>
      </c>
      <c r="D28" s="4">
        <v>-0.31394</v>
      </c>
      <c r="E28" s="4">
        <v>-0.38890000000000002</v>
      </c>
      <c r="F28" s="3">
        <v>3.823E-3</v>
      </c>
      <c r="G28" s="37">
        <v>4.5799999999999999E-3</v>
      </c>
      <c r="H28" s="37">
        <v>4.45E-3</v>
      </c>
      <c r="I28" s="37">
        <v>4.4299999999999999E-3</v>
      </c>
      <c r="J28" s="37">
        <v>4.2700000000000004E-3</v>
      </c>
      <c r="K28" s="37">
        <v>4.3600000000000002E-3</v>
      </c>
      <c r="L28" s="37">
        <v>4.1799999999999997E-3</v>
      </c>
    </row>
    <row r="29" spans="1:12">
      <c r="A29" s="144"/>
      <c r="B29" s="5" t="s">
        <v>34</v>
      </c>
      <c r="C29" s="36">
        <v>27075</v>
      </c>
      <c r="D29" s="4">
        <v>0.178729</v>
      </c>
      <c r="E29" s="4">
        <v>-0.17766000000000001</v>
      </c>
      <c r="F29" s="3">
        <v>4.3949999999999996E-3</v>
      </c>
      <c r="G29" s="37">
        <v>4.5599999999999998E-3</v>
      </c>
      <c r="H29" s="37">
        <v>4.4200000000000003E-3</v>
      </c>
      <c r="I29" s="37">
        <v>4.3600000000000002E-3</v>
      </c>
      <c r="J29" s="37">
        <v>4.2599999999999999E-3</v>
      </c>
      <c r="K29" s="37">
        <v>4.2599999999999999E-3</v>
      </c>
      <c r="L29" s="37">
        <v>4.1799999999999997E-3</v>
      </c>
    </row>
    <row r="30" spans="1:12">
      <c r="A30" s="144"/>
      <c r="B30" s="5" t="s">
        <v>33</v>
      </c>
      <c r="C30" s="36">
        <v>26427</v>
      </c>
      <c r="D30" s="4">
        <v>0.40240199999999998</v>
      </c>
      <c r="E30" s="4">
        <v>4.6963999999999999E-2</v>
      </c>
      <c r="F30" s="3">
        <v>3.7460000000000002E-3</v>
      </c>
      <c r="G30" s="37">
        <v>4.5500000000000002E-3</v>
      </c>
      <c r="H30" s="37">
        <v>4.2900000000000004E-3</v>
      </c>
      <c r="I30" s="37">
        <v>4.3200000000000001E-3</v>
      </c>
      <c r="J30" s="37">
        <v>4.15E-3</v>
      </c>
      <c r="K30" s="37">
        <v>4.1999999999999997E-3</v>
      </c>
      <c r="L30" s="37">
        <v>4.0800000000000003E-3</v>
      </c>
    </row>
    <row r="31" spans="1:12">
      <c r="A31" s="144" t="s">
        <v>18</v>
      </c>
      <c r="B31" s="5" t="s">
        <v>32</v>
      </c>
      <c r="C31" s="36">
        <v>25895</v>
      </c>
      <c r="D31" s="4">
        <v>0.56516200000000005</v>
      </c>
      <c r="E31" s="4">
        <v>7.1263000000000007E-2</v>
      </c>
      <c r="F31" s="3">
        <v>3.9389999999999998E-3</v>
      </c>
      <c r="G31" s="37">
        <v>4.45E-3</v>
      </c>
      <c r="H31" s="37">
        <v>4.2300000000000003E-3</v>
      </c>
      <c r="I31" s="37">
        <v>4.1999999999999997E-3</v>
      </c>
      <c r="J31" s="37">
        <v>4.0899999999999999E-3</v>
      </c>
      <c r="K31" s="37">
        <v>4.0899999999999999E-3</v>
      </c>
      <c r="L31" s="37">
        <v>4.0200000000000001E-3</v>
      </c>
    </row>
    <row r="32" spans="1:12">
      <c r="A32" s="144"/>
      <c r="B32" s="5" t="s">
        <v>31</v>
      </c>
      <c r="C32" s="36">
        <v>25601</v>
      </c>
      <c r="D32" s="4">
        <v>0.46443800000000002</v>
      </c>
      <c r="E32" s="4">
        <v>0.113082</v>
      </c>
      <c r="F32" s="3">
        <v>3.555E-3</v>
      </c>
      <c r="G32" s="37">
        <v>4.4999999999999997E-3</v>
      </c>
      <c r="H32" s="37">
        <v>4.1999999999999997E-3</v>
      </c>
      <c r="I32" s="37">
        <v>4.2500000000000003E-3</v>
      </c>
      <c r="J32" s="37">
        <v>4.0600000000000002E-3</v>
      </c>
      <c r="K32" s="37">
        <v>4.1399999999999996E-3</v>
      </c>
      <c r="L32" s="37">
        <v>3.9899999999999996E-3</v>
      </c>
    </row>
    <row r="33" spans="1:12">
      <c r="A33" s="144"/>
      <c r="B33" s="5" t="s">
        <v>30</v>
      </c>
      <c r="C33" s="36">
        <v>25052</v>
      </c>
      <c r="D33" s="4">
        <v>-3.5459999999999998E-2</v>
      </c>
      <c r="E33" s="4">
        <v>0.15784599999999999</v>
      </c>
      <c r="F33" s="3">
        <v>4.3109999999999997E-3</v>
      </c>
      <c r="G33" s="37">
        <v>4.7699999999999999E-3</v>
      </c>
      <c r="H33" s="37">
        <v>4.2100000000000002E-3</v>
      </c>
      <c r="I33" s="37">
        <v>4.5500000000000002E-3</v>
      </c>
      <c r="J33" s="37">
        <v>4.0699999999999998E-3</v>
      </c>
      <c r="K33" s="37">
        <v>4.4400000000000004E-3</v>
      </c>
      <c r="L33" s="37">
        <v>4.0000000000000001E-3</v>
      </c>
    </row>
    <row r="34" spans="1:12">
      <c r="A34" s="144"/>
      <c r="B34" s="5" t="s">
        <v>29</v>
      </c>
      <c r="C34" s="36">
        <v>24361</v>
      </c>
      <c r="D34" s="4">
        <v>-0.12819</v>
      </c>
      <c r="E34" s="4">
        <v>0.11962200000000001</v>
      </c>
      <c r="F34" s="3">
        <v>4.3509999999999998E-3</v>
      </c>
      <c r="G34" s="37">
        <v>4.5500000000000002E-3</v>
      </c>
      <c r="H34" s="37">
        <v>4.0000000000000001E-3</v>
      </c>
      <c r="I34" s="37">
        <v>4.3299999999999996E-3</v>
      </c>
      <c r="J34" s="37">
        <v>3.8600000000000001E-3</v>
      </c>
      <c r="K34" s="37">
        <v>4.2300000000000003E-3</v>
      </c>
      <c r="L34" s="37">
        <v>3.79E-3</v>
      </c>
    </row>
    <row r="35" spans="1:12">
      <c r="F35" s="50"/>
    </row>
  </sheetData>
  <mergeCells count="5">
    <mergeCell ref="G1:H1"/>
    <mergeCell ref="I1:J1"/>
    <mergeCell ref="A31:A34"/>
    <mergeCell ref="A3:A30"/>
    <mergeCell ref="K1:L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O42"/>
  <sheetViews>
    <sheetView showGridLines="0" tabSelected="1" zoomScale="90" zoomScaleNormal="90" workbookViewId="0">
      <selection activeCell="N15" sqref="N15"/>
    </sheetView>
  </sheetViews>
  <sheetFormatPr defaultRowHeight="12"/>
  <cols>
    <col min="1" max="1" width="34.140625" style="12" customWidth="1"/>
    <col min="2" max="2" width="14.42578125" style="12" customWidth="1"/>
    <col min="3" max="3" width="19.5703125" style="12" bestFit="1" customWidth="1"/>
    <col min="4" max="4" width="11.85546875" style="12" customWidth="1"/>
    <col min="5" max="5" width="9.28515625" style="12" bestFit="1" customWidth="1"/>
    <col min="6" max="6" width="11" style="12" customWidth="1"/>
    <col min="7" max="7" width="15.140625" style="12" customWidth="1"/>
    <col min="8" max="10" width="11" style="12" hidden="1" customWidth="1"/>
    <col min="11" max="11" width="10.42578125" style="12" customWidth="1"/>
    <col min="12" max="12" width="12.42578125" style="12" bestFit="1" customWidth="1"/>
    <col min="13" max="16384" width="9.140625" style="12"/>
  </cols>
  <sheetData>
    <row r="1" spans="1:15">
      <c r="A1" s="10" t="s">
        <v>17</v>
      </c>
      <c r="B1" s="11">
        <v>0.05</v>
      </c>
    </row>
    <row r="2" spans="1:15">
      <c r="A2" s="13" t="s">
        <v>23</v>
      </c>
      <c r="B2" s="13">
        <v>4</v>
      </c>
    </row>
    <row r="3" spans="1:15">
      <c r="A3" s="14" t="s">
        <v>3</v>
      </c>
      <c r="B3" s="15">
        <f>CRITBINOM(B2,10%,95%)</f>
        <v>2</v>
      </c>
    </row>
    <row r="7" spans="1:15">
      <c r="A7" s="12" t="s">
        <v>106</v>
      </c>
    </row>
    <row r="9" spans="1:15">
      <c r="A9" s="16" t="s">
        <v>25</v>
      </c>
      <c r="B9" s="16"/>
      <c r="C9" s="16"/>
      <c r="D9" s="16"/>
      <c r="E9" s="146" t="s">
        <v>86</v>
      </c>
      <c r="F9" s="147"/>
      <c r="G9" s="148"/>
      <c r="H9" s="146" t="s">
        <v>87</v>
      </c>
      <c r="I9" s="147"/>
      <c r="J9" s="148"/>
    </row>
    <row r="10" spans="1:15" ht="27" customHeight="1" thickBot="1">
      <c r="A10" s="17" t="s">
        <v>88</v>
      </c>
      <c r="B10" s="18">
        <f>1-$B$1</f>
        <v>0.95</v>
      </c>
      <c r="C10" s="17" t="s">
        <v>89</v>
      </c>
      <c r="D10" s="19">
        <v>0.1</v>
      </c>
      <c r="E10" s="149" t="s">
        <v>90</v>
      </c>
      <c r="F10" s="149"/>
      <c r="G10" s="20" t="s">
        <v>0</v>
      </c>
      <c r="H10" s="149" t="s">
        <v>90</v>
      </c>
      <c r="I10" s="149"/>
      <c r="J10" s="150" t="s">
        <v>0</v>
      </c>
      <c r="L10" s="21"/>
      <c r="O10" s="164">
        <v>7497</v>
      </c>
    </row>
    <row r="11" spans="1:15" ht="24.75" thickTop="1">
      <c r="A11" s="22" t="s">
        <v>22</v>
      </c>
      <c r="B11" s="23" t="s">
        <v>1</v>
      </c>
      <c r="C11" s="23" t="s">
        <v>6</v>
      </c>
      <c r="D11" s="23" t="s">
        <v>7</v>
      </c>
      <c r="E11" s="23" t="s">
        <v>27</v>
      </c>
      <c r="F11" s="23" t="s">
        <v>91</v>
      </c>
      <c r="G11" s="24" t="s">
        <v>24</v>
      </c>
      <c r="H11" s="25" t="s">
        <v>92</v>
      </c>
      <c r="I11" s="26" t="s">
        <v>91</v>
      </c>
      <c r="J11" s="151"/>
      <c r="L11" s="27"/>
      <c r="O11" s="12">
        <v>470</v>
      </c>
    </row>
    <row r="12" spans="1:15">
      <c r="A12" s="5" t="s">
        <v>32</v>
      </c>
      <c r="B12" s="32">
        <v>25895</v>
      </c>
      <c r="C12" s="33">
        <v>3.9389999999999998E-3</v>
      </c>
      <c r="D12" s="33">
        <v>4.45E-3</v>
      </c>
      <c r="E12" s="29">
        <f>MAX(0, binTest(MAX((1-$D$10)*D12,0.000000001),(1-$B$10)/2,B12))</f>
        <v>3.2357456289583684E-3</v>
      </c>
      <c r="F12" s="29">
        <f>binTest(MAX((1+$D$10)*D12,0.000000001),$B$10+(1-$B$10)/2,B12)</f>
        <v>5.7450626519953583E-3</v>
      </c>
      <c r="G12" s="38" t="str">
        <f>IF(AND($C12&lt;=F12,$C12&gt;=E12),"Accept","Reject")</f>
        <v>Accept</v>
      </c>
      <c r="H12" s="28" t="e">
        <f>MAX(0, creditVar((1-$B$10)/2,(1-$D$10)*D12,#REF!,B12)/B12)</f>
        <v>#VALUE!</v>
      </c>
      <c r="I12" s="29" t="e">
        <f>creditVar($B$10+(1-$B$10)/2,(1+$D$10)*D12,#REF!,B12)/B12</f>
        <v>#VALUE!</v>
      </c>
      <c r="J12" s="30" t="e">
        <f t="shared" ref="J12:J15" si="0">IF(AND($C12&lt;=I12,$C12&gt;=H12),"Accept","Reject")</f>
        <v>#VALUE!</v>
      </c>
      <c r="L12" s="27"/>
      <c r="O12" s="12">
        <v>470</v>
      </c>
    </row>
    <row r="13" spans="1:15">
      <c r="A13" s="5" t="s">
        <v>31</v>
      </c>
      <c r="B13" s="32">
        <v>25601</v>
      </c>
      <c r="C13" s="33">
        <v>3.555E-3</v>
      </c>
      <c r="D13" s="33">
        <v>4.4999999999999997E-3</v>
      </c>
      <c r="E13" s="29">
        <f>MAX(0, binTest(MAX((1-$D$10)*D13,0.000000001),(1-$B$10)/2,B13))</f>
        <v>3.2720245261721854E-3</v>
      </c>
      <c r="F13" s="29">
        <f>binTest(MAX((1+$D$10)*D13,0.000000001),$B$10+(1-$B$10)/2,B13)</f>
        <v>5.8096955479732043E-3</v>
      </c>
      <c r="G13" s="38" t="str">
        <f>IF(AND($C13&lt;=F13,$C13&gt;=E13),"Accept","Reject")</f>
        <v>Accept</v>
      </c>
      <c r="H13" s="28" t="e">
        <f>MAX(0, creditVar((1-$B$10)/2,(1-$D$10)*D13,#REF!,B13)/B13)</f>
        <v>#VALUE!</v>
      </c>
      <c r="I13" s="29" t="e">
        <f>creditVar($B$10+(1-$B$10)/2,(1+$D$10)*D13,#REF!,B13)/B13</f>
        <v>#VALUE!</v>
      </c>
      <c r="J13" s="30" t="e">
        <f t="shared" si="0"/>
        <v>#VALUE!</v>
      </c>
      <c r="L13" s="27"/>
      <c r="O13" s="12">
        <v>146</v>
      </c>
    </row>
    <row r="14" spans="1:15">
      <c r="A14" s="5" t="s">
        <v>30</v>
      </c>
      <c r="B14" s="32">
        <v>25052</v>
      </c>
      <c r="C14" s="33">
        <v>4.3109999999999997E-3</v>
      </c>
      <c r="D14" s="33">
        <v>4.7699999999999999E-3</v>
      </c>
      <c r="E14" s="29">
        <f>MAX(0, binTest(MAX((1-$D$10)*D14,0.000000001),(1-$B$10)/2,B14))</f>
        <v>3.4833951262855547E-3</v>
      </c>
      <c r="F14" s="29">
        <f>binTest(MAX((1+$D$10)*D14,0.000000001),$B$10+(1-$B$10)/2,B14)</f>
        <v>6.1416229816028062E-3</v>
      </c>
      <c r="G14" s="38" t="str">
        <f>IF(AND($C14&lt;=F14,$C14&gt;=E14),"Accept","Reject")</f>
        <v>Accept</v>
      </c>
      <c r="H14" s="28" t="e">
        <f>MAX(0, creditVar((1-$B$10)/2,(1-$D$10)*D14,#REF!,B14)/B14)</f>
        <v>#VALUE!</v>
      </c>
      <c r="I14" s="29" t="e">
        <f>creditVar($B$10+(1-$B$10)/2,(1+$D$10)*D14,#REF!,B14)/B14</f>
        <v>#VALUE!</v>
      </c>
      <c r="J14" s="30" t="e">
        <f t="shared" si="0"/>
        <v>#VALUE!</v>
      </c>
      <c r="L14" s="27"/>
      <c r="O14" s="12">
        <v>147</v>
      </c>
    </row>
    <row r="15" spans="1:15" ht="12.75" thickBot="1">
      <c r="A15" s="5" t="s">
        <v>29</v>
      </c>
      <c r="B15" s="32">
        <v>24361</v>
      </c>
      <c r="C15" s="33">
        <v>4.3509999999999998E-3</v>
      </c>
      <c r="D15" s="33">
        <v>4.5500000000000002E-3</v>
      </c>
      <c r="E15" s="29">
        <f>MAX(0, binTest(MAX((1-$D$10)*D15,0.000000001),(1-$B$10)/2,B15))</f>
        <v>3.2930700296518751E-3</v>
      </c>
      <c r="F15" s="29">
        <f>binTest(MAX((1+$D$10)*D15,0.000000001),$B$10+(1-$B$10)/2,B15)</f>
        <v>5.8911618007356286E-3</v>
      </c>
      <c r="G15" s="39" t="str">
        <f>IF(AND($C15&lt;=F15,$C15&gt;=E15),"Accept","Reject")</f>
        <v>Accept</v>
      </c>
      <c r="H15" s="28" t="e">
        <f>MAX(0, creditVar((1-$B$10)/2,(1-$D$10)*D15,#REF!,B15)/B15)</f>
        <v>#VALUE!</v>
      </c>
      <c r="I15" s="29" t="e">
        <f>creditVar($B$10+(1-$B$10)/2,(1+$D$10)*D15,#REF!,B15)/B15</f>
        <v>#VALUE!</v>
      </c>
      <c r="J15" s="30" t="e">
        <f t="shared" si="0"/>
        <v>#VALUE!</v>
      </c>
      <c r="L15" s="27"/>
      <c r="O15" s="165">
        <f>SUM(O10:O14)</f>
        <v>8730</v>
      </c>
    </row>
    <row r="16" spans="1:15" ht="12.75" thickTop="1">
      <c r="A16" s="31" t="s">
        <v>2</v>
      </c>
      <c r="B16" s="32">
        <f>SUM(B12:B15)</f>
        <v>100909</v>
      </c>
      <c r="C16" s="33">
        <f>SUMPRODUCT($B$12:$B$15,C12:C15)/SUM($B$12:$B$15)</f>
        <v>4.0333948706260097E-3</v>
      </c>
      <c r="D16" s="33">
        <f>SUMPRODUCT($B$12:$B$15,D12:D15)/SUM($B$12:$B$15)</f>
        <v>4.5662709966405382E-3</v>
      </c>
      <c r="E16" s="29">
        <f>MAX(0, binTest(MAX((1-$D$10)*D16,0.000000001),(1-$B$10)/2,B16))</f>
        <v>3.71492220017711E-3</v>
      </c>
      <c r="F16" s="29">
        <f>binTest(MAX((1+$D$10)*D16,0.000000001),$B$10+(1-$B$10)/2,B16)</f>
        <v>5.4590792195899161E-3</v>
      </c>
      <c r="G16" s="40" t="str">
        <f>IF(COUNTIF(G12:G15,"Reject")&gt;$B$3,"Reject","Accept")</f>
        <v>Accept</v>
      </c>
      <c r="H16" s="29" t="e">
        <f>MAX(0, creditVar((1-$B$10)/2,(1-$D$10)*D16,#REF!,B16)/B16)</f>
        <v>#VALUE!</v>
      </c>
      <c r="I16" s="29" t="e">
        <f>creditVar($B$10+(1-$B$10)/2,(1+$D$10)*D16,#REF!,B16)/B16</f>
        <v>#VALUE!</v>
      </c>
      <c r="J16" s="30" t="e">
        <f>IF(AND($C16&lt;=I16,$C16&gt;=H16),"Accept","Reject")</f>
        <v>#VALUE!</v>
      </c>
    </row>
    <row r="20" spans="1:7">
      <c r="A20" s="12" t="s">
        <v>67</v>
      </c>
    </row>
    <row r="22" spans="1:7">
      <c r="A22" s="16" t="s">
        <v>120</v>
      </c>
      <c r="B22" s="16"/>
      <c r="C22" s="16"/>
      <c r="D22" s="16"/>
      <c r="E22" s="146" t="s">
        <v>86</v>
      </c>
      <c r="F22" s="147"/>
      <c r="G22" s="148"/>
    </row>
    <row r="23" spans="1:7" ht="24.75" thickBot="1">
      <c r="A23" s="71" t="s">
        <v>88</v>
      </c>
      <c r="B23" s="72">
        <f>1-$B$1</f>
        <v>0.95</v>
      </c>
      <c r="C23" s="71" t="s">
        <v>89</v>
      </c>
      <c r="D23" s="73">
        <v>0.1</v>
      </c>
      <c r="E23" s="145" t="s">
        <v>90</v>
      </c>
      <c r="F23" s="145"/>
      <c r="G23" s="74" t="s">
        <v>0</v>
      </c>
    </row>
    <row r="24" spans="1:7" ht="24.75" thickTop="1">
      <c r="A24" s="22" t="s">
        <v>22</v>
      </c>
      <c r="B24" s="23" t="s">
        <v>1</v>
      </c>
      <c r="C24" s="23" t="s">
        <v>6</v>
      </c>
      <c r="D24" s="23" t="s">
        <v>7</v>
      </c>
      <c r="E24" s="23" t="s">
        <v>27</v>
      </c>
      <c r="F24" s="23" t="s">
        <v>91</v>
      </c>
      <c r="G24" s="24" t="s">
        <v>24</v>
      </c>
    </row>
    <row r="25" spans="1:7">
      <c r="A25" s="5" t="s">
        <v>32</v>
      </c>
      <c r="B25" s="32">
        <v>25895</v>
      </c>
      <c r="C25" s="33">
        <v>3.9389999999999998E-3</v>
      </c>
      <c r="D25" s="33">
        <v>4.1999999999999997E-3</v>
      </c>
      <c r="E25" s="29">
        <f>MAX(0, binTest(MAX((1-$D$23)*D25,0.000000001),(1-$B$23)/2,B25))</f>
        <v>3.0325818129057123E-3</v>
      </c>
      <c r="F25" s="29">
        <f>binTest(MAX((1+$D$23)*D25,0.000000001),$B$23+(1-$B$10)/2,B25)</f>
        <v>5.4459534589507749E-3</v>
      </c>
      <c r="G25" s="38" t="str">
        <f>IF(AND($C25&lt;=F25,$C25&gt;=E25),"Accept","Reject")</f>
        <v>Accept</v>
      </c>
    </row>
    <row r="26" spans="1:7">
      <c r="A26" s="5" t="s">
        <v>31</v>
      </c>
      <c r="B26" s="32">
        <v>25601</v>
      </c>
      <c r="C26" s="33">
        <v>3.555E-3</v>
      </c>
      <c r="D26" s="33">
        <v>4.2500000000000003E-3</v>
      </c>
      <c r="E26" s="29">
        <f t="shared" ref="E26:E29" si="1">MAX(0, binTest(MAX((1-$D$23)*D26,0.000000001),(1-$B$23)/2,B26))</f>
        <v>3.0688583420713654E-3</v>
      </c>
      <c r="F26" s="29">
        <f t="shared" ref="F26:F29" si="2">binTest(MAX((1+$D$23)*D26,0.000000001),$B$23+(1-$B$10)/2,B26)</f>
        <v>5.5105893385660014E-3</v>
      </c>
      <c r="G26" s="38" t="str">
        <f>IF(AND($C26&lt;=F26,$C26&gt;=E26),"Accept","Reject")</f>
        <v>Accept</v>
      </c>
    </row>
    <row r="27" spans="1:7">
      <c r="A27" s="5" t="s">
        <v>30</v>
      </c>
      <c r="B27" s="32">
        <v>25052</v>
      </c>
      <c r="C27" s="33">
        <v>4.3109999999999997E-3</v>
      </c>
      <c r="D27" s="33">
        <v>4.5500000000000002E-3</v>
      </c>
      <c r="E27" s="29">
        <f t="shared" si="1"/>
        <v>3.3042070316760094E-3</v>
      </c>
      <c r="F27" s="29">
        <f t="shared" si="2"/>
        <v>5.878855008205828E-3</v>
      </c>
      <c r="G27" s="38" t="str">
        <f>IF(AND($C27&lt;=F27,$C27&gt;=E27),"Accept","Reject")</f>
        <v>Accept</v>
      </c>
    </row>
    <row r="28" spans="1:7" ht="12.75" thickBot="1">
      <c r="A28" s="5" t="s">
        <v>29</v>
      </c>
      <c r="B28" s="32">
        <v>24361</v>
      </c>
      <c r="C28" s="33">
        <v>4.3509999999999998E-3</v>
      </c>
      <c r="D28" s="33">
        <v>4.3299999999999996E-3</v>
      </c>
      <c r="E28" s="29">
        <f t="shared" si="1"/>
        <v>3.1146197801655362E-3</v>
      </c>
      <c r="F28" s="29">
        <f t="shared" si="2"/>
        <v>5.6275778055099729E-3</v>
      </c>
      <c r="G28" s="39" t="str">
        <f>IF(AND($C28&lt;=F28,$C28&gt;=E28),"Accept","Reject")</f>
        <v>Accept</v>
      </c>
    </row>
    <row r="29" spans="1:7" ht="12.75" thickTop="1">
      <c r="A29" s="31" t="s">
        <v>2</v>
      </c>
      <c r="B29" s="32">
        <f>SUM(B25:B28)</f>
        <v>100909</v>
      </c>
      <c r="C29" s="33">
        <f>SUMPRODUCT($B$25:$B$28,C25:C28)/SUM($B$12:$B$15)</f>
        <v>4.0333948706260097E-3</v>
      </c>
      <c r="D29" s="33">
        <f>SUMPRODUCT($B$25:$B$28,D25:D28)/SUM($B$12:$B$15)</f>
        <v>4.330961361226451E-3</v>
      </c>
      <c r="E29" s="29">
        <f t="shared" si="1"/>
        <v>3.513407594950853E-3</v>
      </c>
      <c r="F29" s="29">
        <f t="shared" si="2"/>
        <v>5.1889065586225693E-3</v>
      </c>
      <c r="G29" s="40" t="str">
        <f>IF(COUNTIF(G25:G28,"Reject")&gt;$B$3,"Reject","Accept")</f>
        <v>Accept</v>
      </c>
    </row>
    <row r="33" spans="1:7">
      <c r="A33" s="12" t="s">
        <v>68</v>
      </c>
    </row>
    <row r="35" spans="1:7">
      <c r="A35" s="16" t="s">
        <v>25</v>
      </c>
      <c r="B35" s="16"/>
      <c r="C35" s="16"/>
      <c r="D35" s="16"/>
      <c r="E35" s="146" t="s">
        <v>86</v>
      </c>
      <c r="F35" s="147"/>
      <c r="G35" s="148"/>
    </row>
    <row r="36" spans="1:7" ht="24.75" thickBot="1">
      <c r="A36" s="17" t="s">
        <v>88</v>
      </c>
      <c r="B36" s="18">
        <f>1-$B$1</f>
        <v>0.95</v>
      </c>
      <c r="C36" s="17" t="s">
        <v>89</v>
      </c>
      <c r="D36" s="19">
        <v>0.1</v>
      </c>
      <c r="E36" s="149" t="s">
        <v>90</v>
      </c>
      <c r="F36" s="149"/>
      <c r="G36" s="20" t="s">
        <v>0</v>
      </c>
    </row>
    <row r="37" spans="1:7" ht="24.75" thickTop="1">
      <c r="A37" s="22" t="s">
        <v>22</v>
      </c>
      <c r="B37" s="23" t="s">
        <v>1</v>
      </c>
      <c r="C37" s="23" t="s">
        <v>6</v>
      </c>
      <c r="D37" s="23" t="s">
        <v>7</v>
      </c>
      <c r="E37" s="23" t="s">
        <v>27</v>
      </c>
      <c r="F37" s="23" t="s">
        <v>91</v>
      </c>
      <c r="G37" s="24" t="s">
        <v>24</v>
      </c>
    </row>
    <row r="38" spans="1:7">
      <c r="A38" s="5" t="s">
        <v>32</v>
      </c>
      <c r="B38" s="32">
        <v>25895</v>
      </c>
      <c r="C38" s="33">
        <v>3.9389999999999998E-3</v>
      </c>
      <c r="D38" s="33">
        <v>4.0899999999999999E-3</v>
      </c>
      <c r="E38" s="29">
        <f>MAX(0, binTest(MAX((1-$D$23)*D38,0.000000001),(1-$B$23)/2,B38))</f>
        <v>2.9433977237163047E-3</v>
      </c>
      <c r="F38" s="29">
        <f>binTest(MAX((1+$D$23)*D38,0.000000001),$B$23+(1-$B$10)/2,B38)</f>
        <v>5.3141151783085202E-3</v>
      </c>
      <c r="G38" s="38" t="str">
        <f>IF(AND($C38&lt;=F38,$C38&gt;=E38),"Accept","Reject")</f>
        <v>Accept</v>
      </c>
    </row>
    <row r="39" spans="1:7">
      <c r="A39" s="5" t="s">
        <v>31</v>
      </c>
      <c r="B39" s="32">
        <v>25601</v>
      </c>
      <c r="C39" s="33">
        <v>3.555E-3</v>
      </c>
      <c r="D39" s="33">
        <v>4.1399999999999996E-3</v>
      </c>
      <c r="E39" s="29">
        <f t="shared" ref="E39:E42" si="3">MAX(0, binTest(MAX((1-$D$23)*D39,0.000000001),(1-$B$23)/2,B39))</f>
        <v>2.9796707722691707E-3</v>
      </c>
      <c r="F39" s="29">
        <f t="shared" ref="F39:F42" si="4">binTest(MAX((1+$D$23)*D39,0.000000001),$B$23+(1-$B$10)/2,B39)</f>
        <v>5.3787550667831118E-3</v>
      </c>
      <c r="G39" s="38" t="str">
        <f>IF(AND($C39&lt;=F39,$C39&gt;=E39),"Accept","Reject")</f>
        <v>Accept</v>
      </c>
    </row>
    <row r="40" spans="1:7">
      <c r="A40" s="5" t="s">
        <v>30</v>
      </c>
      <c r="B40" s="32">
        <v>25052</v>
      </c>
      <c r="C40" s="33">
        <v>4.3109999999999997E-3</v>
      </c>
      <c r="D40" s="33">
        <v>4.4400000000000004E-3</v>
      </c>
      <c r="E40" s="29">
        <f t="shared" si="3"/>
        <v>3.2147857248383573E-3</v>
      </c>
      <c r="F40" s="29">
        <f t="shared" si="4"/>
        <v>5.7472797856528892E-3</v>
      </c>
      <c r="G40" s="38" t="str">
        <f>IF(AND($C40&lt;=F40,$C40&gt;=E40),"Accept","Reject")</f>
        <v>Accept</v>
      </c>
    </row>
    <row r="41" spans="1:7" ht="12.75" thickBot="1">
      <c r="A41" s="5" t="s">
        <v>29</v>
      </c>
      <c r="B41" s="32">
        <v>24361</v>
      </c>
      <c r="C41" s="33">
        <v>4.3509999999999998E-3</v>
      </c>
      <c r="D41" s="33">
        <v>4.2300000000000003E-3</v>
      </c>
      <c r="E41" s="29">
        <f t="shared" si="3"/>
        <v>3.0336720331612089E-3</v>
      </c>
      <c r="F41" s="29">
        <f t="shared" si="4"/>
        <v>5.5075831339007541E-3</v>
      </c>
      <c r="G41" s="39" t="str">
        <f>IF(AND($C41&lt;=F41,$C41&gt;=E41),"Accept","Reject")</f>
        <v>Accept</v>
      </c>
    </row>
    <row r="42" spans="1:7" ht="12.75" thickTop="1">
      <c r="A42" s="31" t="s">
        <v>2</v>
      </c>
      <c r="B42" s="32">
        <f>SUM(B38:B41)</f>
        <v>100909</v>
      </c>
      <c r="C42" s="33">
        <f>SUMPRODUCT($B$25:$B$28,C38:C41)/SUM($B$12:$B$15)</f>
        <v>4.0333948706260097E-3</v>
      </c>
      <c r="D42" s="33">
        <f>SUMPRODUCT($B$25:$B$28,D38:D41)/SUM($B$12:$B$15)</f>
        <v>4.2233755165545193E-3</v>
      </c>
      <c r="E42" s="29">
        <f t="shared" si="3"/>
        <v>3.4213670874586929E-3</v>
      </c>
      <c r="F42" s="29">
        <f t="shared" si="4"/>
        <v>5.0652770293932586E-3</v>
      </c>
      <c r="G42" s="40" t="str">
        <f>IF(COUNTIF(G38:G41,"Reject")&gt;$B$3,"Reject","Accept")</f>
        <v>Accept</v>
      </c>
    </row>
  </sheetData>
  <mergeCells count="9">
    <mergeCell ref="E23:F23"/>
    <mergeCell ref="E35:G35"/>
    <mergeCell ref="E36:F36"/>
    <mergeCell ref="H10:I10"/>
    <mergeCell ref="E9:G9"/>
    <mergeCell ref="H9:J9"/>
    <mergeCell ref="E10:F10"/>
    <mergeCell ref="J10:J11"/>
    <mergeCell ref="E22:G22"/>
  </mergeCells>
  <phoneticPr fontId="5" type="noConversion"/>
  <conditionalFormatting sqref="G12:G16 J12:J16">
    <cfRule type="cellIs" dxfId="56" priority="27" stopIfTrue="1" operator="equal">
      <formula>"Reject"</formula>
    </cfRule>
    <cfRule type="cellIs" dxfId="55" priority="41" stopIfTrue="1" operator="equal">
      <formula>"Accept"</formula>
    </cfRule>
  </conditionalFormatting>
  <conditionalFormatting sqref="G12:G16">
    <cfRule type="cellIs" dxfId="54" priority="42" operator="notEqual">
      <formula>OR("Accept","Reject")</formula>
    </cfRule>
  </conditionalFormatting>
  <conditionalFormatting sqref="G25:G29">
    <cfRule type="cellIs" dxfId="53" priority="5" stopIfTrue="1" operator="equal">
      <formula>"Reject"</formula>
    </cfRule>
    <cfRule type="cellIs" dxfId="52" priority="6" stopIfTrue="1" operator="equal">
      <formula>"Accept"</formula>
    </cfRule>
  </conditionalFormatting>
  <conditionalFormatting sqref="G25:G29">
    <cfRule type="cellIs" dxfId="51" priority="4" operator="notEqual">
      <formula>OR("Accept","Reject")</formula>
    </cfRule>
  </conditionalFormatting>
  <conditionalFormatting sqref="G38:G42">
    <cfRule type="cellIs" dxfId="50" priority="2" stopIfTrue="1" operator="equal">
      <formula>"Reject"</formula>
    </cfRule>
    <cfRule type="cellIs" dxfId="49" priority="3" stopIfTrue="1" operator="equal">
      <formula>"Accept"</formula>
    </cfRule>
  </conditionalFormatting>
  <conditionalFormatting sqref="G38:G42">
    <cfRule type="cellIs" dxfId="48" priority="1" operator="notEqual">
      <formula>OR("Accept","Reject")</formula>
    </cfRule>
  </conditionalFormatting>
  <pageMargins left="0.75" right="0.75" top="1" bottom="1" header="0.5" footer="0.5"/>
  <pageSetup paperSize="9" scale="66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42"/>
  <sheetViews>
    <sheetView showGridLines="0" zoomScale="90" zoomScaleNormal="90" workbookViewId="0">
      <selection activeCell="Y6" sqref="Y6"/>
    </sheetView>
  </sheetViews>
  <sheetFormatPr defaultColWidth="16.28515625" defaultRowHeight="12"/>
  <cols>
    <col min="1" max="1" width="22" style="77" customWidth="1"/>
    <col min="2" max="2" width="13.140625" style="77" bestFit="1" customWidth="1"/>
    <col min="3" max="3" width="11.42578125" style="77" bestFit="1" customWidth="1"/>
    <col min="4" max="4" width="12" style="77" customWidth="1"/>
    <col min="5" max="5" width="8.28515625" style="77" bestFit="1" customWidth="1"/>
    <col min="6" max="8" width="12" style="77" customWidth="1"/>
    <col min="9" max="9" width="9.5703125" style="77" bestFit="1" customWidth="1"/>
    <col min="10" max="10" width="12" style="77" customWidth="1"/>
    <col min="11" max="11" width="13.140625" style="77" customWidth="1"/>
    <col min="12" max="12" width="9" style="77" bestFit="1" customWidth="1"/>
    <col min="13" max="13" width="9.5703125" style="77" bestFit="1" customWidth="1"/>
    <col min="14" max="14" width="14" style="77" bestFit="1" customWidth="1"/>
    <col min="15" max="15" width="11.42578125" style="77" bestFit="1" customWidth="1"/>
    <col min="16" max="16" width="12" style="77" customWidth="1"/>
    <col min="17" max="17" width="17" style="77" customWidth="1"/>
    <col min="18" max="18" width="9" style="77" customWidth="1"/>
    <col min="19" max="19" width="11.42578125" style="77" bestFit="1" customWidth="1"/>
    <col min="20" max="20" width="11.85546875" style="77" bestFit="1" customWidth="1"/>
    <col min="21" max="21" width="12" style="77" bestFit="1" customWidth="1"/>
    <col min="22" max="22" width="11.140625" style="77" bestFit="1" customWidth="1"/>
    <col min="23" max="23" width="13" style="77" customWidth="1"/>
    <col min="24" max="24" width="9.140625" style="77" bestFit="1" customWidth="1"/>
    <col min="25" max="25" width="15.140625" style="77" customWidth="1"/>
    <col min="26" max="26" width="12" style="77" customWidth="1"/>
    <col min="27" max="27" width="4.42578125" style="77" bestFit="1" customWidth="1"/>
    <col min="28" max="28" width="12" style="77" customWidth="1"/>
    <col min="29" max="29" width="12.42578125" style="77" customWidth="1"/>
    <col min="30" max="30" width="9.28515625" style="77" customWidth="1"/>
    <col min="31" max="31" width="11" style="77" customWidth="1"/>
    <col min="32" max="32" width="10.5703125" style="77" customWidth="1"/>
    <col min="33" max="45" width="12" style="77" customWidth="1"/>
    <col min="46" max="46" width="11" style="77" customWidth="1"/>
    <col min="47" max="54" width="12" style="77" customWidth="1"/>
    <col min="55" max="55" width="10" style="77" customWidth="1"/>
    <col min="56" max="95" width="12" style="77" customWidth="1"/>
    <col min="96" max="96" width="12" style="77" bestFit="1" customWidth="1"/>
    <col min="97" max="100" width="12" style="77" customWidth="1"/>
    <col min="101" max="101" width="11" style="77" customWidth="1"/>
    <col min="102" max="102" width="12" style="77" customWidth="1"/>
    <col min="103" max="103" width="11" style="77" customWidth="1"/>
    <col min="104" max="121" width="12" style="77" customWidth="1"/>
    <col min="122" max="122" width="11" style="77" customWidth="1"/>
    <col min="123" max="127" width="12" style="77" customWidth="1"/>
    <col min="128" max="128" width="11" style="77" customWidth="1"/>
    <col min="129" max="133" width="12" style="77" customWidth="1"/>
    <col min="134" max="135" width="11" style="77" customWidth="1"/>
    <col min="136" max="140" width="12" style="77" customWidth="1"/>
    <col min="141" max="141" width="11" style="77" customWidth="1"/>
    <col min="142" max="143" width="12" style="77" customWidth="1"/>
    <col min="144" max="144" width="11" style="77" customWidth="1"/>
    <col min="145" max="148" width="12" style="77" customWidth="1"/>
    <col min="149" max="150" width="11" style="77" customWidth="1"/>
    <col min="151" max="164" width="12" style="77" customWidth="1"/>
    <col min="165" max="165" width="11" style="77" customWidth="1"/>
    <col min="166" max="177" width="12" style="77" customWidth="1"/>
    <col min="178" max="178" width="11" style="77" customWidth="1"/>
    <col min="179" max="180" width="12" style="77" customWidth="1"/>
    <col min="181" max="181" width="11" style="77" customWidth="1"/>
    <col min="182" max="189" width="12" style="77" customWidth="1"/>
    <col min="190" max="190" width="11" style="77" customWidth="1"/>
    <col min="191" max="197" width="12" style="77" customWidth="1"/>
    <col min="198" max="198" width="8" style="77" customWidth="1"/>
    <col min="199" max="199" width="10.7109375" style="77" customWidth="1"/>
    <col min="200" max="200" width="14" style="77" bestFit="1" customWidth="1"/>
    <col min="201" max="201" width="16.28515625" style="77" bestFit="1" customWidth="1"/>
    <col min="202" max="202" width="14" style="77" bestFit="1" customWidth="1"/>
    <col min="203" max="203" width="16.28515625" style="77" bestFit="1" customWidth="1"/>
    <col min="204" max="204" width="14" style="77" bestFit="1" customWidth="1"/>
    <col min="205" max="205" width="16.28515625" style="77" bestFit="1" customWidth="1"/>
    <col min="206" max="206" width="14" style="77" bestFit="1" customWidth="1"/>
    <col min="207" max="207" width="16.28515625" style="77" bestFit="1" customWidth="1"/>
    <col min="208" max="208" width="14" style="77" bestFit="1" customWidth="1"/>
    <col min="209" max="209" width="16.28515625" style="77" bestFit="1" customWidth="1"/>
    <col min="210" max="210" width="14" style="77" bestFit="1" customWidth="1"/>
    <col min="211" max="211" width="16.28515625" style="77" bestFit="1" customWidth="1"/>
    <col min="212" max="212" width="14" style="77" bestFit="1" customWidth="1"/>
    <col min="213" max="213" width="16.28515625" style="77" bestFit="1" customWidth="1"/>
    <col min="214" max="214" width="14" style="77" bestFit="1" customWidth="1"/>
    <col min="215" max="215" width="16.28515625" style="77" bestFit="1" customWidth="1"/>
    <col min="216" max="216" width="14" style="77" bestFit="1" customWidth="1"/>
    <col min="217" max="217" width="16.28515625" style="77" bestFit="1" customWidth="1"/>
    <col min="218" max="218" width="14" style="77" bestFit="1" customWidth="1"/>
    <col min="219" max="219" width="16.28515625" style="77" bestFit="1" customWidth="1"/>
    <col min="220" max="220" width="14" style="77" bestFit="1" customWidth="1"/>
    <col min="221" max="221" width="16.28515625" style="77" bestFit="1" customWidth="1"/>
    <col min="222" max="222" width="14" style="77" bestFit="1" customWidth="1"/>
    <col min="223" max="223" width="16.28515625" style="77" bestFit="1" customWidth="1"/>
    <col min="224" max="224" width="14" style="77" bestFit="1" customWidth="1"/>
    <col min="225" max="225" width="16.28515625" style="77" bestFit="1" customWidth="1"/>
    <col min="226" max="226" width="14" style="77" bestFit="1" customWidth="1"/>
    <col min="227" max="227" width="16.28515625" style="77" bestFit="1" customWidth="1"/>
    <col min="228" max="228" width="14" style="77" bestFit="1" customWidth="1"/>
    <col min="229" max="229" width="16.28515625" style="77" bestFit="1" customWidth="1"/>
    <col min="230" max="230" width="13" style="77" bestFit="1" customWidth="1"/>
    <col min="231" max="231" width="15.28515625" style="77" bestFit="1" customWidth="1"/>
    <col min="232" max="232" width="14" style="77" bestFit="1" customWidth="1"/>
    <col min="233" max="233" width="16.28515625" style="77" bestFit="1" customWidth="1"/>
    <col min="234" max="234" width="14" style="77" bestFit="1" customWidth="1"/>
    <col min="235" max="235" width="16.28515625" style="77" bestFit="1" customWidth="1"/>
    <col min="236" max="236" width="14" style="77" bestFit="1" customWidth="1"/>
    <col min="237" max="237" width="16.28515625" style="77" bestFit="1" customWidth="1"/>
    <col min="238" max="238" width="14" style="77" bestFit="1" customWidth="1"/>
    <col min="239" max="239" width="16.28515625" style="77" bestFit="1" customWidth="1"/>
    <col min="240" max="240" width="14" style="77" bestFit="1" customWidth="1"/>
    <col min="241" max="241" width="16.28515625" style="77" bestFit="1" customWidth="1"/>
    <col min="242" max="242" width="13" style="77" bestFit="1" customWidth="1"/>
    <col min="243" max="243" width="15.28515625" style="77" bestFit="1" customWidth="1"/>
    <col min="244" max="244" width="14" style="77" bestFit="1" customWidth="1"/>
    <col min="245" max="245" width="16.28515625" style="77" bestFit="1" customWidth="1"/>
    <col min="246" max="246" width="14" style="77" bestFit="1" customWidth="1"/>
    <col min="247" max="247" width="16.28515625" style="77" bestFit="1" customWidth="1"/>
    <col min="248" max="248" width="14" style="77" bestFit="1" customWidth="1"/>
    <col min="249" max="249" width="16.28515625" style="77" bestFit="1" customWidth="1"/>
    <col min="250" max="250" width="14" style="77" bestFit="1" customWidth="1"/>
    <col min="251" max="251" width="16.28515625" style="77" bestFit="1" customWidth="1"/>
    <col min="252" max="252" width="14" style="77" bestFit="1" customWidth="1"/>
    <col min="253" max="253" width="16.28515625" style="77" bestFit="1" customWidth="1"/>
    <col min="254" max="254" width="13" style="77" bestFit="1" customWidth="1"/>
    <col min="255" max="255" width="15.28515625" style="77" bestFit="1" customWidth="1"/>
    <col min="256" max="256" width="13" style="77" bestFit="1" customWidth="1"/>
    <col min="257" max="257" width="15.28515625" style="77" bestFit="1" customWidth="1"/>
    <col min="258" max="258" width="14" style="77" bestFit="1" customWidth="1"/>
    <col min="259" max="259" width="16.28515625" style="77" bestFit="1" customWidth="1"/>
    <col min="260" max="16384" width="16.28515625" style="77"/>
  </cols>
  <sheetData>
    <row r="1" spans="1:29">
      <c r="A1" s="75" t="s">
        <v>17</v>
      </c>
      <c r="B1" s="76">
        <v>0.05</v>
      </c>
    </row>
    <row r="2" spans="1:29" ht="16.5" customHeight="1"/>
    <row r="3" spans="1:29" ht="12.75" customHeight="1">
      <c r="A3" s="153" t="s">
        <v>93</v>
      </c>
      <c r="B3" s="158" t="s">
        <v>10</v>
      </c>
      <c r="C3" s="158"/>
      <c r="D3" s="158" t="s">
        <v>11</v>
      </c>
      <c r="E3" s="158"/>
      <c r="F3" s="158" t="s">
        <v>12</v>
      </c>
      <c r="G3" s="158"/>
      <c r="H3" s="78" t="s">
        <v>13</v>
      </c>
      <c r="I3" s="78" t="s">
        <v>14</v>
      </c>
      <c r="J3" s="78" t="s">
        <v>13</v>
      </c>
      <c r="K3" s="78" t="s">
        <v>14</v>
      </c>
      <c r="L3" s="78" t="s">
        <v>15</v>
      </c>
      <c r="M3" s="78" t="s">
        <v>16</v>
      </c>
      <c r="N3" s="78" t="s">
        <v>15</v>
      </c>
      <c r="O3" s="78" t="s">
        <v>16</v>
      </c>
      <c r="Q3" s="155" t="s">
        <v>93</v>
      </c>
      <c r="R3" s="152" t="s">
        <v>118</v>
      </c>
      <c r="S3" s="152"/>
      <c r="T3" s="152"/>
      <c r="U3" s="152"/>
      <c r="V3" s="152" t="s">
        <v>119</v>
      </c>
      <c r="W3" s="152"/>
      <c r="X3" s="152"/>
      <c r="Y3" s="152"/>
    </row>
    <row r="4" spans="1:29" ht="24">
      <c r="A4" s="154"/>
      <c r="B4" s="80" t="s">
        <v>9</v>
      </c>
      <c r="C4" s="80" t="s">
        <v>18</v>
      </c>
      <c r="D4" s="80" t="s">
        <v>9</v>
      </c>
      <c r="E4" s="80" t="s">
        <v>18</v>
      </c>
      <c r="F4" s="80" t="s">
        <v>9</v>
      </c>
      <c r="G4" s="80" t="s">
        <v>18</v>
      </c>
      <c r="H4" s="159" t="s">
        <v>19</v>
      </c>
      <c r="I4" s="159"/>
      <c r="J4" s="159" t="s">
        <v>18</v>
      </c>
      <c r="K4" s="159"/>
      <c r="L4" s="159" t="s">
        <v>20</v>
      </c>
      <c r="M4" s="159"/>
      <c r="N4" s="159" t="s">
        <v>21</v>
      </c>
      <c r="O4" s="159"/>
      <c r="Q4" s="156"/>
      <c r="R4" s="79" t="s">
        <v>13</v>
      </c>
      <c r="S4" s="79" t="s">
        <v>14</v>
      </c>
      <c r="T4" s="79" t="s">
        <v>28</v>
      </c>
      <c r="U4" s="79" t="s">
        <v>16</v>
      </c>
      <c r="V4" s="79" t="s">
        <v>13</v>
      </c>
      <c r="W4" s="79" t="s">
        <v>14</v>
      </c>
      <c r="X4" s="79" t="s">
        <v>28</v>
      </c>
      <c r="Y4" s="79" t="s">
        <v>16</v>
      </c>
    </row>
    <row r="5" spans="1:29">
      <c r="A5" s="81" t="s">
        <v>106</v>
      </c>
      <c r="B5" s="82">
        <f>AVERAGE(F11:F38)</f>
        <v>3.9607142857142953E-5</v>
      </c>
      <c r="C5" s="82">
        <f>AVERAGE(F39:F42)</f>
        <v>5.2850000000000011E-4</v>
      </c>
      <c r="D5" s="82">
        <f>STDEV(F11:F38)</f>
        <v>5.0048941523463271E-4</v>
      </c>
      <c r="E5" s="82">
        <f>STDEV(F39:F42)</f>
        <v>3.0939672482644857E-4</v>
      </c>
      <c r="F5" s="83">
        <f>COUNT(F11:F38)</f>
        <v>28</v>
      </c>
      <c r="G5" s="83">
        <f>COUNT(F39:F42)</f>
        <v>4</v>
      </c>
      <c r="H5" s="84">
        <f>RSQ(D11:D38,E11:E38)</f>
        <v>0.83724136527346771</v>
      </c>
      <c r="I5" s="85">
        <f>FDIST(H5/(1-H5)*(F5-2),1,(F5-2))</f>
        <v>9.461439607542326E-12</v>
      </c>
      <c r="J5" s="84">
        <f>RSQ(D39:D42,E39:E42)</f>
        <v>0.35659396949719674</v>
      </c>
      <c r="K5" s="85">
        <f>FDIST(J5/(1-J5)*(G5-2),1,(G5-2))</f>
        <v>0.40284510426758058</v>
      </c>
      <c r="L5" s="86">
        <f t="shared" ref="L5:L6" si="0">B5/(D5/SQRT(F5))</f>
        <v>0.41875271265300174</v>
      </c>
      <c r="M5" s="87">
        <f t="shared" ref="M5:M6" si="1">TDIST(ABS(L5),F5-1,2)</f>
        <v>0.67870935699270341</v>
      </c>
      <c r="N5" s="86">
        <f>C5/(E5/SQRT(G5))</f>
        <v>3.4163257564956724</v>
      </c>
      <c r="O5" s="87">
        <f>TDIST(ABS(N5),G5-1,2)</f>
        <v>4.1955686879534812E-2</v>
      </c>
      <c r="Q5" s="88">
        <v>1</v>
      </c>
      <c r="R5" s="89">
        <f t="shared" ref="R5:S7" si="2">H5</f>
        <v>0.83724136527346771</v>
      </c>
      <c r="S5" s="90">
        <f t="shared" si="2"/>
        <v>9.461439607542326E-12</v>
      </c>
      <c r="T5" s="86">
        <f t="shared" ref="T5:U7" si="3">L5</f>
        <v>0.41875271265300174</v>
      </c>
      <c r="U5" s="87">
        <f t="shared" si="3"/>
        <v>0.67870935699270341</v>
      </c>
      <c r="V5" s="89">
        <f t="shared" ref="V5:W7" si="4">J5</f>
        <v>0.35659396949719674</v>
      </c>
      <c r="W5" s="91">
        <f t="shared" si="4"/>
        <v>0.40284510426758058</v>
      </c>
      <c r="X5" s="92">
        <f t="shared" ref="X5:Y7" si="5">N5</f>
        <v>3.4163257564956724</v>
      </c>
      <c r="Y5" s="93">
        <f t="shared" si="5"/>
        <v>4.1955686879534812E-2</v>
      </c>
    </row>
    <row r="6" spans="1:29">
      <c r="A6" s="94" t="s">
        <v>67</v>
      </c>
      <c r="B6" s="82">
        <f>AVERAGE(J11:J38)</f>
        <v>2.639285714285719E-5</v>
      </c>
      <c r="C6" s="82">
        <f>AVERAGE(J39:J42)</f>
        <v>2.9350000000000014E-4</v>
      </c>
      <c r="D6" s="82">
        <f>STDEV(J11:J38)</f>
        <v>4.5935545336882902E-4</v>
      </c>
      <c r="E6" s="82">
        <f>STDEV(J39:J42)</f>
        <v>2.9672602402440782E-4</v>
      </c>
      <c r="F6" s="83">
        <f>COUNT(J11:J38)</f>
        <v>28</v>
      </c>
      <c r="G6" s="83">
        <f>COUNT(J39:J42)</f>
        <v>4</v>
      </c>
      <c r="H6" s="84">
        <f>RSQ(H11:H38,I11:I38)</f>
        <v>0.86217350800111403</v>
      </c>
      <c r="I6" s="85">
        <f>FDIST(H6/(1-H6)*(F6-2),1,(F6-2))</f>
        <v>1.0748765660951186E-12</v>
      </c>
      <c r="J6" s="84">
        <f>RSQ(H39:H42,I39:I42)</f>
        <v>0.41782121796073451</v>
      </c>
      <c r="K6" s="85">
        <f>FDIST(J6/(1-J6)*(G6-2),1,(G6-2))</f>
        <v>0.35360908270557001</v>
      </c>
      <c r="L6" s="86">
        <f t="shared" si="0"/>
        <v>0.30403007464629922</v>
      </c>
      <c r="M6" s="87">
        <f t="shared" si="1"/>
        <v>0.76343578319933769</v>
      </c>
      <c r="N6" s="86">
        <f>C6/(E6/SQRT(G6))</f>
        <v>1.9782558740170204</v>
      </c>
      <c r="O6" s="87">
        <f t="shared" ref="O6" si="6">TDIST(ABS(N6),G6-1,2)</f>
        <v>0.14229864759439459</v>
      </c>
      <c r="Q6" s="88">
        <v>2</v>
      </c>
      <c r="R6" s="89">
        <f t="shared" si="2"/>
        <v>0.86217350800111403</v>
      </c>
      <c r="S6" s="105">
        <f t="shared" si="2"/>
        <v>1.0748765660951186E-12</v>
      </c>
      <c r="T6" s="86">
        <f t="shared" si="3"/>
        <v>0.30403007464629922</v>
      </c>
      <c r="U6" s="87">
        <f t="shared" si="3"/>
        <v>0.76343578319933769</v>
      </c>
      <c r="V6" s="89">
        <f t="shared" si="4"/>
        <v>0.41782121796073451</v>
      </c>
      <c r="W6" s="106">
        <f t="shared" si="4"/>
        <v>0.35360908270557001</v>
      </c>
      <c r="X6" s="92">
        <f t="shared" si="5"/>
        <v>1.9782558740170204</v>
      </c>
      <c r="Y6" s="107">
        <f t="shared" si="5"/>
        <v>0.14229864759439459</v>
      </c>
    </row>
    <row r="7" spans="1:29">
      <c r="A7" s="81" t="s">
        <v>68</v>
      </c>
      <c r="B7" s="82">
        <f>AVERAGE(N11:N38)</f>
        <v>1.924999999999997E-5</v>
      </c>
      <c r="C7" s="82">
        <f>AVERAGE(N39:N42)</f>
        <v>1.8600000000000018E-4</v>
      </c>
      <c r="D7" s="82">
        <f>STDEV(N11:N38)</f>
        <v>4.4521943195753773E-4</v>
      </c>
      <c r="E7" s="82">
        <f>STDEV(N40:N42)</f>
        <v>3.5797392828714917E-4</v>
      </c>
      <c r="F7" s="83">
        <f>COUNT(N11:N38)</f>
        <v>28</v>
      </c>
      <c r="G7" s="83">
        <f>COUNT(N39:N42)</f>
        <v>4</v>
      </c>
      <c r="H7" s="84">
        <f>RSQ(L11:L38,M11:M38)</f>
        <v>0.86976277688576553</v>
      </c>
      <c r="I7" s="85">
        <f>FDIST(H7/(1-H7)*(F7-2),1,(F7-2))</f>
        <v>5.1267267339791575E-13</v>
      </c>
      <c r="J7" s="84">
        <f>RSQ(L39:L42,M39:M42)</f>
        <v>0.44136449506045167</v>
      </c>
      <c r="K7" s="85">
        <f>FDIST(J7/(1-J7)*(G7-2),1,(G7-2))</f>
        <v>0.33564731124164804</v>
      </c>
      <c r="L7" s="86">
        <f t="shared" ref="L7" si="7">B7/(D7/SQRT(F7))</f>
        <v>0.22878926247249132</v>
      </c>
      <c r="M7" s="87">
        <f t="shared" ref="M7" si="8">TDIST(ABS(L7),F7-1,2)</f>
        <v>0.82075680498036141</v>
      </c>
      <c r="N7" s="86">
        <f>C7/(E7/SQRT(G7))</f>
        <v>1.0391818247210456</v>
      </c>
      <c r="O7" s="87">
        <f t="shared" ref="O7" si="9">TDIST(ABS(N7),G7-1,2)</f>
        <v>0.37511593631776574</v>
      </c>
      <c r="Q7" s="88">
        <v>3</v>
      </c>
      <c r="R7" s="89">
        <f t="shared" si="2"/>
        <v>0.86976277688576553</v>
      </c>
      <c r="S7" s="90">
        <f t="shared" si="2"/>
        <v>5.1267267339791575E-13</v>
      </c>
      <c r="T7" s="86">
        <f t="shared" si="3"/>
        <v>0.22878926247249132</v>
      </c>
      <c r="U7" s="87">
        <f t="shared" si="3"/>
        <v>0.82075680498036141</v>
      </c>
      <c r="V7" s="89">
        <f t="shared" si="4"/>
        <v>0.44136449506045167</v>
      </c>
      <c r="W7" s="91">
        <f t="shared" si="4"/>
        <v>0.33564731124164804</v>
      </c>
      <c r="X7" s="92">
        <f t="shared" si="5"/>
        <v>1.0391818247210456</v>
      </c>
      <c r="Y7" s="93">
        <f t="shared" si="5"/>
        <v>0.37511593631776574</v>
      </c>
    </row>
    <row r="9" spans="1:29">
      <c r="C9" s="157" t="s">
        <v>106</v>
      </c>
      <c r="D9" s="157"/>
      <c r="E9" s="157"/>
      <c r="F9" s="157"/>
      <c r="G9" s="157" t="s">
        <v>67</v>
      </c>
      <c r="H9" s="157"/>
      <c r="I9" s="157"/>
      <c r="J9" s="157"/>
      <c r="K9" s="157" t="s">
        <v>68</v>
      </c>
      <c r="L9" s="157"/>
      <c r="M9" s="157"/>
      <c r="N9" s="157"/>
    </row>
    <row r="10" spans="1:29" ht="24">
      <c r="A10" s="95" t="s">
        <v>4</v>
      </c>
      <c r="B10" s="95" t="s">
        <v>22</v>
      </c>
      <c r="C10" s="95" t="s">
        <v>26</v>
      </c>
      <c r="D10" s="95" t="s">
        <v>116</v>
      </c>
      <c r="E10" s="95" t="s">
        <v>117</v>
      </c>
      <c r="F10" s="95" t="s">
        <v>8</v>
      </c>
      <c r="G10" s="108" t="s">
        <v>26</v>
      </c>
      <c r="H10" s="108" t="s">
        <v>116</v>
      </c>
      <c r="I10" s="108" t="s">
        <v>117</v>
      </c>
      <c r="J10" s="108" t="s">
        <v>8</v>
      </c>
      <c r="K10" s="95" t="s">
        <v>26</v>
      </c>
      <c r="L10" s="95" t="s">
        <v>116</v>
      </c>
      <c r="M10" s="95" t="s">
        <v>117</v>
      </c>
      <c r="N10" s="95" t="s">
        <v>8</v>
      </c>
    </row>
    <row r="11" spans="1:29">
      <c r="A11" s="96" t="s">
        <v>9</v>
      </c>
      <c r="B11" s="100" t="s">
        <v>60</v>
      </c>
      <c r="C11" s="97">
        <v>189737</v>
      </c>
      <c r="D11" s="98">
        <v>6.5329999999999997E-3</v>
      </c>
      <c r="E11" s="37">
        <v>6.8799999999999998E-3</v>
      </c>
      <c r="F11" s="99">
        <f t="shared" ref="F11:F42" si="10">E11-D11</f>
        <v>3.4700000000000009E-4</v>
      </c>
      <c r="G11" s="97">
        <v>189737</v>
      </c>
      <c r="H11" s="98">
        <v>6.5329999999999997E-3</v>
      </c>
      <c r="I11" s="37">
        <v>6.8500000000000002E-3</v>
      </c>
      <c r="J11" s="99">
        <f t="shared" ref="J11:J42" si="11">I11-H11</f>
        <v>3.1700000000000044E-4</v>
      </c>
      <c r="K11" s="97">
        <v>189737</v>
      </c>
      <c r="L11" s="98">
        <v>6.5329999999999997E-3</v>
      </c>
      <c r="M11" s="37">
        <v>6.8399999999999997E-3</v>
      </c>
      <c r="N11" s="99">
        <f t="shared" ref="N11:N42" si="12">M11-L11</f>
        <v>3.0699999999999998E-4</v>
      </c>
      <c r="Y11" s="101"/>
      <c r="Z11" s="101"/>
      <c r="AA11" s="101"/>
    </row>
    <row r="12" spans="1:29">
      <c r="A12" s="96" t="s">
        <v>9</v>
      </c>
      <c r="B12" s="100" t="s">
        <v>59</v>
      </c>
      <c r="C12" s="97">
        <v>199239</v>
      </c>
      <c r="D12" s="98">
        <v>6.8989999999999998E-3</v>
      </c>
      <c r="E12" s="37">
        <v>7.0699999999999999E-3</v>
      </c>
      <c r="F12" s="99">
        <f t="shared" si="10"/>
        <v>1.7100000000000014E-4</v>
      </c>
      <c r="G12" s="97">
        <v>199239</v>
      </c>
      <c r="H12" s="98">
        <v>6.8989999999999998E-3</v>
      </c>
      <c r="I12" s="37">
        <v>7.0099999999999997E-3</v>
      </c>
      <c r="J12" s="99">
        <f t="shared" si="11"/>
        <v>1.1099999999999999E-4</v>
      </c>
      <c r="K12" s="97">
        <v>199239</v>
      </c>
      <c r="L12" s="98">
        <v>6.8989999999999998E-3</v>
      </c>
      <c r="M12" s="37">
        <v>6.9800000000000001E-3</v>
      </c>
      <c r="N12" s="99">
        <f t="shared" si="12"/>
        <v>8.1000000000000343E-5</v>
      </c>
      <c r="Y12" s="101"/>
      <c r="Z12" s="101"/>
      <c r="AA12" s="101"/>
    </row>
    <row r="13" spans="1:29">
      <c r="A13" s="96" t="s">
        <v>9</v>
      </c>
      <c r="B13" s="100" t="s">
        <v>58</v>
      </c>
      <c r="C13" s="97">
        <v>206492</v>
      </c>
      <c r="D13" s="98">
        <v>7.0860000000000003E-3</v>
      </c>
      <c r="E13" s="37">
        <v>7.0899999999999999E-3</v>
      </c>
      <c r="F13" s="99">
        <f t="shared" si="10"/>
        <v>3.9999999999996635E-6</v>
      </c>
      <c r="G13" s="97">
        <v>206492</v>
      </c>
      <c r="H13" s="98">
        <v>7.0860000000000003E-3</v>
      </c>
      <c r="I13" s="37">
        <v>7.1500000000000001E-3</v>
      </c>
      <c r="J13" s="99">
        <f t="shared" si="11"/>
        <v>6.3999999999999821E-5</v>
      </c>
      <c r="K13" s="97">
        <v>206492</v>
      </c>
      <c r="L13" s="98">
        <v>7.0860000000000003E-3</v>
      </c>
      <c r="M13" s="37">
        <v>7.1799999999999998E-3</v>
      </c>
      <c r="N13" s="99">
        <f t="shared" si="12"/>
        <v>9.3999999999999466E-5</v>
      </c>
    </row>
    <row r="14" spans="1:29">
      <c r="A14" s="96" t="s">
        <v>9</v>
      </c>
      <c r="B14" s="100" t="s">
        <v>57</v>
      </c>
      <c r="C14" s="97">
        <v>215206</v>
      </c>
      <c r="D14" s="98">
        <v>7.0080000000000003E-3</v>
      </c>
      <c r="E14" s="37">
        <v>6.6100000000000004E-3</v>
      </c>
      <c r="F14" s="99">
        <f t="shared" si="10"/>
        <v>-3.9799999999999992E-4</v>
      </c>
      <c r="G14" s="97">
        <v>215206</v>
      </c>
      <c r="H14" s="98">
        <v>7.0080000000000003E-3</v>
      </c>
      <c r="I14" s="37">
        <v>6.6800000000000002E-3</v>
      </c>
      <c r="J14" s="99">
        <f t="shared" si="11"/>
        <v>-3.2800000000000017E-4</v>
      </c>
      <c r="K14" s="97">
        <v>215206</v>
      </c>
      <c r="L14" s="98">
        <v>7.0080000000000003E-3</v>
      </c>
      <c r="M14" s="37">
        <v>6.7099999999999998E-3</v>
      </c>
      <c r="N14" s="99">
        <f t="shared" si="12"/>
        <v>-2.9800000000000052E-4</v>
      </c>
    </row>
    <row r="15" spans="1:29">
      <c r="A15" s="96" t="s">
        <v>9</v>
      </c>
      <c r="B15" s="100" t="s">
        <v>56</v>
      </c>
      <c r="C15" s="97">
        <v>224340</v>
      </c>
      <c r="D15" s="98">
        <v>6.1539999999999997E-3</v>
      </c>
      <c r="E15" s="37">
        <v>5.7600000000000004E-3</v>
      </c>
      <c r="F15" s="99">
        <f t="shared" si="10"/>
        <v>-3.9399999999999939E-4</v>
      </c>
      <c r="G15" s="97">
        <v>224340</v>
      </c>
      <c r="H15" s="98">
        <v>6.1539999999999997E-3</v>
      </c>
      <c r="I15" s="37">
        <v>5.7999999999999996E-3</v>
      </c>
      <c r="J15" s="99">
        <f t="shared" si="11"/>
        <v>-3.5400000000000015E-4</v>
      </c>
      <c r="K15" s="97">
        <v>224340</v>
      </c>
      <c r="L15" s="98">
        <v>6.1539999999999997E-3</v>
      </c>
      <c r="M15" s="37">
        <v>5.8199999999999997E-3</v>
      </c>
      <c r="N15" s="99">
        <f t="shared" si="12"/>
        <v>-3.340000000000001E-4</v>
      </c>
      <c r="X15" s="102"/>
      <c r="Y15" s="103"/>
      <c r="Z15" s="103"/>
      <c r="AA15" s="103"/>
      <c r="AB15" s="103"/>
      <c r="AC15" s="103"/>
    </row>
    <row r="16" spans="1:29">
      <c r="A16" s="96" t="s">
        <v>9</v>
      </c>
      <c r="B16" s="100" t="s">
        <v>55</v>
      </c>
      <c r="C16" s="97">
        <v>224038</v>
      </c>
      <c r="D16" s="98">
        <v>6.1269999999999996E-3</v>
      </c>
      <c r="E16" s="37">
        <v>5.4000000000000003E-3</v>
      </c>
      <c r="F16" s="99">
        <f t="shared" si="10"/>
        <v>-7.2699999999999935E-4</v>
      </c>
      <c r="G16" s="97">
        <v>224038</v>
      </c>
      <c r="H16" s="98">
        <v>6.1269999999999996E-3</v>
      </c>
      <c r="I16" s="37">
        <v>5.45E-3</v>
      </c>
      <c r="J16" s="99">
        <f t="shared" si="11"/>
        <v>-6.7699999999999965E-4</v>
      </c>
      <c r="K16" s="97">
        <v>224038</v>
      </c>
      <c r="L16" s="98">
        <v>6.1269999999999996E-3</v>
      </c>
      <c r="M16" s="37">
        <v>5.4799999999999996E-3</v>
      </c>
      <c r="N16" s="99">
        <f t="shared" si="12"/>
        <v>-6.4700000000000001E-4</v>
      </c>
      <c r="X16" s="102"/>
    </row>
    <row r="17" spans="1:15">
      <c r="A17" s="96" t="s">
        <v>9</v>
      </c>
      <c r="B17" s="100" t="s">
        <v>54</v>
      </c>
      <c r="C17" s="97">
        <v>220666</v>
      </c>
      <c r="D17" s="98">
        <v>6.3169999999999997E-3</v>
      </c>
      <c r="E17" s="37">
        <v>5.0400000000000002E-3</v>
      </c>
      <c r="F17" s="99">
        <f t="shared" si="10"/>
        <v>-1.2769999999999995E-3</v>
      </c>
      <c r="G17" s="97">
        <v>220666</v>
      </c>
      <c r="H17" s="98">
        <v>6.3169999999999997E-3</v>
      </c>
      <c r="I17" s="37">
        <v>5.1200000000000004E-3</v>
      </c>
      <c r="J17" s="99">
        <f t="shared" si="11"/>
        <v>-1.1969999999999993E-3</v>
      </c>
      <c r="K17" s="97">
        <v>220666</v>
      </c>
      <c r="L17" s="98">
        <v>6.3169999999999997E-3</v>
      </c>
      <c r="M17" s="37">
        <v>5.1599999999999997E-3</v>
      </c>
      <c r="N17" s="99">
        <f t="shared" si="12"/>
        <v>-1.157E-3</v>
      </c>
    </row>
    <row r="18" spans="1:15">
      <c r="A18" s="96" t="s">
        <v>9</v>
      </c>
      <c r="B18" s="100" t="s">
        <v>53</v>
      </c>
      <c r="C18" s="97">
        <v>217573</v>
      </c>
      <c r="D18" s="98">
        <v>5.5620000000000001E-3</v>
      </c>
      <c r="E18" s="37">
        <v>4.7400000000000003E-3</v>
      </c>
      <c r="F18" s="99">
        <f t="shared" si="10"/>
        <v>-8.2199999999999981E-4</v>
      </c>
      <c r="G18" s="97">
        <v>217573</v>
      </c>
      <c r="H18" s="98">
        <v>5.5620000000000001E-3</v>
      </c>
      <c r="I18" s="37">
        <v>4.8399999999999997E-3</v>
      </c>
      <c r="J18" s="99">
        <f t="shared" si="11"/>
        <v>-7.2200000000000042E-4</v>
      </c>
      <c r="K18" s="97">
        <v>217573</v>
      </c>
      <c r="L18" s="98">
        <v>5.5620000000000001E-3</v>
      </c>
      <c r="M18" s="37">
        <v>4.8900000000000002E-3</v>
      </c>
      <c r="N18" s="99">
        <f t="shared" si="12"/>
        <v>-6.7199999999999985E-4</v>
      </c>
    </row>
    <row r="19" spans="1:15">
      <c r="A19" s="96" t="s">
        <v>9</v>
      </c>
      <c r="B19" s="100" t="s">
        <v>52</v>
      </c>
      <c r="C19" s="97">
        <v>223052</v>
      </c>
      <c r="D19" s="98">
        <v>4.4270000000000004E-3</v>
      </c>
      <c r="E19" s="37">
        <v>4.7200000000000002E-3</v>
      </c>
      <c r="F19" s="99">
        <f t="shared" si="10"/>
        <v>2.9299999999999986E-4</v>
      </c>
      <c r="G19" s="97">
        <v>223052</v>
      </c>
      <c r="H19" s="98">
        <v>4.4270000000000004E-3</v>
      </c>
      <c r="I19" s="37">
        <v>4.8300000000000001E-3</v>
      </c>
      <c r="J19" s="99">
        <f t="shared" si="11"/>
        <v>4.0299999999999971E-4</v>
      </c>
      <c r="K19" s="97">
        <v>223052</v>
      </c>
      <c r="L19" s="98">
        <v>4.4270000000000004E-3</v>
      </c>
      <c r="M19" s="37">
        <v>4.8900000000000002E-3</v>
      </c>
      <c r="N19" s="99">
        <f t="shared" si="12"/>
        <v>4.6299999999999987E-4</v>
      </c>
    </row>
    <row r="20" spans="1:15">
      <c r="A20" s="96" t="s">
        <v>9</v>
      </c>
      <c r="B20" s="100" t="s">
        <v>51</v>
      </c>
      <c r="C20" s="97">
        <v>224679</v>
      </c>
      <c r="D20" s="98">
        <v>4.718E-3</v>
      </c>
      <c r="E20" s="37">
        <v>4.9300000000000004E-3</v>
      </c>
      <c r="F20" s="99">
        <f t="shared" si="10"/>
        <v>2.1200000000000038E-4</v>
      </c>
      <c r="G20" s="97">
        <v>224679</v>
      </c>
      <c r="H20" s="98">
        <v>4.718E-3</v>
      </c>
      <c r="I20" s="37">
        <v>5.0699999999999999E-3</v>
      </c>
      <c r="J20" s="99">
        <f t="shared" si="11"/>
        <v>3.5199999999999988E-4</v>
      </c>
      <c r="K20" s="97">
        <v>224679</v>
      </c>
      <c r="L20" s="98">
        <v>4.718E-3</v>
      </c>
      <c r="M20" s="37">
        <v>5.1399999999999996E-3</v>
      </c>
      <c r="N20" s="99">
        <f t="shared" si="12"/>
        <v>4.2199999999999963E-4</v>
      </c>
      <c r="O20" s="104"/>
    </row>
    <row r="21" spans="1:15">
      <c r="A21" s="96" t="s">
        <v>9</v>
      </c>
      <c r="B21" s="100" t="s">
        <v>50</v>
      </c>
      <c r="C21" s="97">
        <v>215937</v>
      </c>
      <c r="D21" s="98">
        <v>4.8929999999999998E-3</v>
      </c>
      <c r="E21" s="37">
        <v>4.7699999999999999E-3</v>
      </c>
      <c r="F21" s="99">
        <f t="shared" si="10"/>
        <v>-1.2299999999999985E-4</v>
      </c>
      <c r="G21" s="97">
        <v>215937</v>
      </c>
      <c r="H21" s="98">
        <v>4.8929999999999998E-3</v>
      </c>
      <c r="I21" s="37">
        <v>4.8999999999999998E-3</v>
      </c>
      <c r="J21" s="99">
        <f t="shared" si="11"/>
        <v>7.0000000000000617E-6</v>
      </c>
      <c r="K21" s="97">
        <v>215937</v>
      </c>
      <c r="L21" s="98">
        <v>4.8929999999999998E-3</v>
      </c>
      <c r="M21" s="37">
        <v>4.9699999999999996E-3</v>
      </c>
      <c r="N21" s="99">
        <f t="shared" si="12"/>
        <v>7.6999999999999812E-5</v>
      </c>
    </row>
    <row r="22" spans="1:15">
      <c r="A22" s="96" t="s">
        <v>9</v>
      </c>
      <c r="B22" s="100" t="s">
        <v>49</v>
      </c>
      <c r="C22" s="97">
        <v>210408</v>
      </c>
      <c r="D22" s="98">
        <v>4.3800000000000002E-3</v>
      </c>
      <c r="E22" s="37">
        <v>4.5799999999999999E-3</v>
      </c>
      <c r="F22" s="99">
        <f t="shared" si="10"/>
        <v>1.9999999999999966E-4</v>
      </c>
      <c r="G22" s="97">
        <v>210408</v>
      </c>
      <c r="H22" s="98">
        <v>4.3800000000000002E-3</v>
      </c>
      <c r="I22" s="37">
        <v>4.6800000000000001E-3</v>
      </c>
      <c r="J22" s="99">
        <f t="shared" si="11"/>
        <v>2.9999999999999992E-4</v>
      </c>
      <c r="K22" s="97">
        <v>210408</v>
      </c>
      <c r="L22" s="98">
        <v>4.3800000000000002E-3</v>
      </c>
      <c r="M22" s="37">
        <v>4.7299999999999998E-3</v>
      </c>
      <c r="N22" s="99">
        <f t="shared" si="12"/>
        <v>3.4999999999999962E-4</v>
      </c>
    </row>
    <row r="23" spans="1:15">
      <c r="A23" s="96" t="s">
        <v>9</v>
      </c>
      <c r="B23" s="100" t="s">
        <v>48</v>
      </c>
      <c r="C23" s="97">
        <v>210828</v>
      </c>
      <c r="D23" s="98">
        <v>4.0159999999999996E-3</v>
      </c>
      <c r="E23" s="37">
        <v>4.2399999999999998E-3</v>
      </c>
      <c r="F23" s="99">
        <f t="shared" si="10"/>
        <v>2.2400000000000024E-4</v>
      </c>
      <c r="G23" s="97">
        <v>210828</v>
      </c>
      <c r="H23" s="98">
        <v>4.0159999999999996E-3</v>
      </c>
      <c r="I23" s="37">
        <v>4.3E-3</v>
      </c>
      <c r="J23" s="99">
        <f t="shared" si="11"/>
        <v>2.840000000000004E-4</v>
      </c>
      <c r="K23" s="97">
        <v>210828</v>
      </c>
      <c r="L23" s="98">
        <v>4.0159999999999996E-3</v>
      </c>
      <c r="M23" s="37">
        <v>4.3200000000000001E-3</v>
      </c>
      <c r="N23" s="99">
        <f t="shared" si="12"/>
        <v>3.0400000000000045E-4</v>
      </c>
    </row>
    <row r="24" spans="1:15">
      <c r="A24" s="96" t="s">
        <v>9</v>
      </c>
      <c r="B24" s="100" t="s">
        <v>47</v>
      </c>
      <c r="C24" s="97">
        <v>207286</v>
      </c>
      <c r="D24" s="98">
        <v>4.084E-3</v>
      </c>
      <c r="E24" s="37">
        <v>4.1700000000000001E-3</v>
      </c>
      <c r="F24" s="99">
        <f t="shared" si="10"/>
        <v>8.6000000000000139E-5</v>
      </c>
      <c r="G24" s="97">
        <v>207286</v>
      </c>
      <c r="H24" s="98">
        <v>4.084E-3</v>
      </c>
      <c r="I24" s="37">
        <v>4.1900000000000001E-3</v>
      </c>
      <c r="J24" s="99">
        <f t="shared" si="11"/>
        <v>1.0600000000000019E-4</v>
      </c>
      <c r="K24" s="97">
        <v>207286</v>
      </c>
      <c r="L24" s="98">
        <v>4.084E-3</v>
      </c>
      <c r="M24" s="37">
        <v>4.1999999999999997E-3</v>
      </c>
      <c r="N24" s="99">
        <f t="shared" si="12"/>
        <v>1.1599999999999978E-4</v>
      </c>
    </row>
    <row r="25" spans="1:15">
      <c r="A25" s="96" t="s">
        <v>9</v>
      </c>
      <c r="B25" s="100" t="s">
        <v>46</v>
      </c>
      <c r="C25" s="97">
        <v>205696</v>
      </c>
      <c r="D25" s="98">
        <v>3.9249999999999997E-3</v>
      </c>
      <c r="E25" s="37">
        <v>4.1999999999999997E-3</v>
      </c>
      <c r="F25" s="99">
        <f t="shared" si="10"/>
        <v>2.7500000000000007E-4</v>
      </c>
      <c r="G25" s="97">
        <v>205696</v>
      </c>
      <c r="H25" s="98">
        <v>3.9249999999999997E-3</v>
      </c>
      <c r="I25" s="37">
        <v>4.1799999999999997E-3</v>
      </c>
      <c r="J25" s="99">
        <f t="shared" si="11"/>
        <v>2.5500000000000002E-4</v>
      </c>
      <c r="K25" s="97">
        <v>205696</v>
      </c>
      <c r="L25" s="98">
        <v>3.9249999999999997E-3</v>
      </c>
      <c r="M25" s="37">
        <v>4.1700000000000001E-3</v>
      </c>
      <c r="N25" s="99">
        <f t="shared" si="12"/>
        <v>2.4500000000000043E-4</v>
      </c>
    </row>
    <row r="26" spans="1:15">
      <c r="A26" s="96" t="s">
        <v>9</v>
      </c>
      <c r="B26" s="100" t="s">
        <v>45</v>
      </c>
      <c r="C26" s="97">
        <v>206574</v>
      </c>
      <c r="D26" s="98">
        <v>3.5409999999999999E-3</v>
      </c>
      <c r="E26" s="37">
        <v>4.0000000000000001E-3</v>
      </c>
      <c r="F26" s="99">
        <f t="shared" si="10"/>
        <v>4.5900000000000021E-4</v>
      </c>
      <c r="G26" s="97">
        <v>206574</v>
      </c>
      <c r="H26" s="98">
        <v>3.5409999999999999E-3</v>
      </c>
      <c r="I26" s="37">
        <v>3.96E-3</v>
      </c>
      <c r="J26" s="99">
        <f t="shared" si="11"/>
        <v>4.190000000000001E-4</v>
      </c>
      <c r="K26" s="97">
        <v>206574</v>
      </c>
      <c r="L26" s="98">
        <v>3.5409999999999999E-3</v>
      </c>
      <c r="M26" s="37">
        <v>3.9399999999999999E-3</v>
      </c>
      <c r="N26" s="99">
        <f t="shared" si="12"/>
        <v>3.9900000000000005E-4</v>
      </c>
    </row>
    <row r="27" spans="1:15">
      <c r="A27" s="96" t="s">
        <v>9</v>
      </c>
      <c r="B27" s="100" t="s">
        <v>44</v>
      </c>
      <c r="C27" s="97">
        <v>213926</v>
      </c>
      <c r="D27" s="98">
        <v>3.7659999999999998E-3</v>
      </c>
      <c r="E27" s="37">
        <v>3.98E-3</v>
      </c>
      <c r="F27" s="99">
        <f t="shared" si="10"/>
        <v>2.1400000000000021E-4</v>
      </c>
      <c r="G27" s="97">
        <v>213926</v>
      </c>
      <c r="H27" s="98">
        <v>3.7659999999999998E-3</v>
      </c>
      <c r="I27" s="37">
        <v>3.9199999999999999E-3</v>
      </c>
      <c r="J27" s="99">
        <f t="shared" si="11"/>
        <v>1.5400000000000006E-4</v>
      </c>
      <c r="K27" s="97">
        <v>213926</v>
      </c>
      <c r="L27" s="98">
        <v>3.7659999999999998E-3</v>
      </c>
      <c r="M27" s="37">
        <v>3.8899999999999998E-3</v>
      </c>
      <c r="N27" s="99">
        <f t="shared" si="12"/>
        <v>1.2399999999999998E-4</v>
      </c>
    </row>
    <row r="28" spans="1:15">
      <c r="A28" s="96" t="s">
        <v>9</v>
      </c>
      <c r="B28" s="100" t="s">
        <v>43</v>
      </c>
      <c r="C28" s="97">
        <v>222387</v>
      </c>
      <c r="D28" s="98">
        <v>3.2330000000000002E-3</v>
      </c>
      <c r="E28" s="37">
        <v>4.0099999999999997E-3</v>
      </c>
      <c r="F28" s="99">
        <f t="shared" si="10"/>
        <v>7.7699999999999948E-4</v>
      </c>
      <c r="G28" s="97">
        <v>222387</v>
      </c>
      <c r="H28" s="98">
        <v>3.2330000000000002E-3</v>
      </c>
      <c r="I28" s="37">
        <v>3.9300000000000003E-3</v>
      </c>
      <c r="J28" s="99">
        <f t="shared" si="11"/>
        <v>6.9700000000000014E-4</v>
      </c>
      <c r="K28" s="97">
        <v>222387</v>
      </c>
      <c r="L28" s="98">
        <v>3.2330000000000002E-3</v>
      </c>
      <c r="M28" s="37">
        <v>3.8800000000000002E-3</v>
      </c>
      <c r="N28" s="99">
        <f t="shared" si="12"/>
        <v>6.4700000000000001E-4</v>
      </c>
    </row>
    <row r="29" spans="1:15">
      <c r="A29" s="96" t="s">
        <v>9</v>
      </c>
      <c r="B29" s="100" t="s">
        <v>42</v>
      </c>
      <c r="C29" s="97">
        <v>234647</v>
      </c>
      <c r="D29" s="98">
        <v>3.6640000000000002E-3</v>
      </c>
      <c r="E29" s="37">
        <v>4.0000000000000001E-3</v>
      </c>
      <c r="F29" s="99">
        <f t="shared" si="10"/>
        <v>3.3599999999999993E-4</v>
      </c>
      <c r="G29" s="97">
        <v>234647</v>
      </c>
      <c r="H29" s="98">
        <v>3.6640000000000002E-3</v>
      </c>
      <c r="I29" s="37">
        <v>3.9100000000000003E-3</v>
      </c>
      <c r="J29" s="99">
        <f t="shared" si="11"/>
        <v>2.4600000000000012E-4</v>
      </c>
      <c r="K29" s="97">
        <v>234647</v>
      </c>
      <c r="L29" s="98">
        <v>3.6640000000000002E-3</v>
      </c>
      <c r="M29" s="37">
        <v>3.8600000000000001E-3</v>
      </c>
      <c r="N29" s="99">
        <f t="shared" si="12"/>
        <v>1.9599999999999999E-4</v>
      </c>
    </row>
    <row r="30" spans="1:15">
      <c r="A30" s="96" t="s">
        <v>9</v>
      </c>
      <c r="B30" s="100" t="s">
        <v>41</v>
      </c>
      <c r="C30" s="97">
        <v>242144</v>
      </c>
      <c r="D30" s="98">
        <v>3.454E-3</v>
      </c>
      <c r="E30" s="37">
        <v>3.8700000000000002E-3</v>
      </c>
      <c r="F30" s="99">
        <f t="shared" si="10"/>
        <v>4.1600000000000014E-4</v>
      </c>
      <c r="G30" s="97">
        <v>242144</v>
      </c>
      <c r="H30" s="98">
        <v>3.454E-3</v>
      </c>
      <c r="I30" s="37">
        <v>3.79E-3</v>
      </c>
      <c r="J30" s="99">
        <f t="shared" si="11"/>
        <v>3.3599999999999993E-4</v>
      </c>
      <c r="K30" s="97">
        <v>242144</v>
      </c>
      <c r="L30" s="98">
        <v>3.454E-3</v>
      </c>
      <c r="M30" s="37">
        <v>3.7499999999999999E-3</v>
      </c>
      <c r="N30" s="99">
        <f t="shared" si="12"/>
        <v>2.9599999999999982E-4</v>
      </c>
    </row>
    <row r="31" spans="1:15">
      <c r="A31" s="96" t="s">
        <v>9</v>
      </c>
      <c r="B31" s="100" t="s">
        <v>40</v>
      </c>
      <c r="C31" s="97">
        <v>246176</v>
      </c>
      <c r="D31" s="98">
        <v>3.7309999999999999E-3</v>
      </c>
      <c r="E31" s="37">
        <v>3.7799999999999999E-3</v>
      </c>
      <c r="F31" s="99">
        <f t="shared" si="10"/>
        <v>4.8999999999999998E-5</v>
      </c>
      <c r="G31" s="97">
        <v>246176</v>
      </c>
      <c r="H31" s="98">
        <v>3.7309999999999999E-3</v>
      </c>
      <c r="I31" s="37">
        <v>3.7399999999999998E-3</v>
      </c>
      <c r="J31" s="99">
        <f t="shared" si="11"/>
        <v>8.9999999999998935E-6</v>
      </c>
      <c r="K31" s="97">
        <v>246176</v>
      </c>
      <c r="L31" s="98">
        <v>3.7309999999999999E-3</v>
      </c>
      <c r="M31" s="37">
        <v>3.7200000000000002E-3</v>
      </c>
      <c r="N31" s="99">
        <f t="shared" si="12"/>
        <v>-1.0999999999999725E-5</v>
      </c>
    </row>
    <row r="32" spans="1:15">
      <c r="A32" s="96" t="s">
        <v>9</v>
      </c>
      <c r="B32" s="100" t="s">
        <v>39</v>
      </c>
      <c r="C32" s="97">
        <v>250558</v>
      </c>
      <c r="D32" s="98">
        <v>3.6089999999999998E-3</v>
      </c>
      <c r="E32" s="37">
        <v>3.5100000000000001E-3</v>
      </c>
      <c r="F32" s="99">
        <f t="shared" si="10"/>
        <v>-9.8999999999999696E-5</v>
      </c>
      <c r="G32" s="97">
        <v>250558</v>
      </c>
      <c r="H32" s="98">
        <v>3.6089999999999998E-3</v>
      </c>
      <c r="I32" s="37">
        <v>3.47E-3</v>
      </c>
      <c r="J32" s="99">
        <f t="shared" si="11"/>
        <v>-1.389999999999998E-4</v>
      </c>
      <c r="K32" s="97">
        <v>250558</v>
      </c>
      <c r="L32" s="98">
        <v>3.6089999999999998E-3</v>
      </c>
      <c r="M32" s="37">
        <v>3.4499999999999999E-3</v>
      </c>
      <c r="N32" s="99">
        <f t="shared" si="12"/>
        <v>-1.5899999999999985E-4</v>
      </c>
    </row>
    <row r="33" spans="1:14">
      <c r="A33" s="96" t="s">
        <v>9</v>
      </c>
      <c r="B33" s="100" t="s">
        <v>38</v>
      </c>
      <c r="C33" s="97">
        <v>256056</v>
      </c>
      <c r="D33" s="98">
        <v>4.202E-3</v>
      </c>
      <c r="E33" s="37">
        <v>3.5100000000000001E-3</v>
      </c>
      <c r="F33" s="99">
        <f t="shared" si="10"/>
        <v>-6.9199999999999991E-4</v>
      </c>
      <c r="G33" s="97">
        <v>256056</v>
      </c>
      <c r="H33" s="98">
        <v>4.202E-3</v>
      </c>
      <c r="I33" s="37">
        <v>3.47E-3</v>
      </c>
      <c r="J33" s="99">
        <f t="shared" si="11"/>
        <v>-7.3200000000000001E-4</v>
      </c>
      <c r="K33" s="97">
        <v>256056</v>
      </c>
      <c r="L33" s="98">
        <v>4.202E-3</v>
      </c>
      <c r="M33" s="37">
        <v>3.4499999999999999E-3</v>
      </c>
      <c r="N33" s="99">
        <f t="shared" si="12"/>
        <v>-7.5200000000000006E-4</v>
      </c>
    </row>
    <row r="34" spans="1:14">
      <c r="A34" s="96" t="s">
        <v>9</v>
      </c>
      <c r="B34" s="100" t="s">
        <v>37</v>
      </c>
      <c r="C34" s="97">
        <v>259020</v>
      </c>
      <c r="D34" s="98">
        <v>4.0980000000000001E-3</v>
      </c>
      <c r="E34" s="37">
        <v>3.64E-3</v>
      </c>
      <c r="F34" s="99">
        <f t="shared" si="10"/>
        <v>-4.5800000000000007E-4</v>
      </c>
      <c r="G34" s="97">
        <v>259020</v>
      </c>
      <c r="H34" s="98">
        <v>4.0980000000000001E-3</v>
      </c>
      <c r="I34" s="37">
        <v>3.5799999999999998E-3</v>
      </c>
      <c r="J34" s="99">
        <f t="shared" si="11"/>
        <v>-5.1800000000000023E-4</v>
      </c>
      <c r="K34" s="97">
        <v>259020</v>
      </c>
      <c r="L34" s="98">
        <v>4.0980000000000001E-3</v>
      </c>
      <c r="M34" s="37">
        <v>3.5400000000000002E-3</v>
      </c>
      <c r="N34" s="99">
        <f t="shared" si="12"/>
        <v>-5.579999999999999E-4</v>
      </c>
    </row>
    <row r="35" spans="1:14">
      <c r="A35" s="96" t="s">
        <v>9</v>
      </c>
      <c r="B35" s="100" t="s">
        <v>36</v>
      </c>
      <c r="C35" s="97">
        <v>266264</v>
      </c>
      <c r="D35" s="98">
        <v>3.7399999999999998E-3</v>
      </c>
      <c r="E35" s="37">
        <v>4.0499999999999998E-3</v>
      </c>
      <c r="F35" s="99">
        <f t="shared" si="10"/>
        <v>3.0999999999999995E-4</v>
      </c>
      <c r="G35" s="97">
        <v>266264</v>
      </c>
      <c r="H35" s="98">
        <v>3.7399999999999998E-3</v>
      </c>
      <c r="I35" s="37">
        <v>3.9399999999999999E-3</v>
      </c>
      <c r="J35" s="99">
        <f t="shared" si="11"/>
        <v>2.0000000000000009E-4</v>
      </c>
      <c r="K35" s="97">
        <v>266264</v>
      </c>
      <c r="L35" s="98">
        <v>3.7399999999999998E-3</v>
      </c>
      <c r="M35" s="37">
        <v>3.8899999999999998E-3</v>
      </c>
      <c r="N35" s="99">
        <f t="shared" si="12"/>
        <v>1.4999999999999996E-4</v>
      </c>
    </row>
    <row r="36" spans="1:14">
      <c r="A36" s="96" t="s">
        <v>9</v>
      </c>
      <c r="B36" s="100" t="s">
        <v>35</v>
      </c>
      <c r="C36" s="97">
        <v>260986</v>
      </c>
      <c r="D36" s="98">
        <v>3.823E-3</v>
      </c>
      <c r="E36" s="37">
        <v>4.5799999999999999E-3</v>
      </c>
      <c r="F36" s="99">
        <f t="shared" si="10"/>
        <v>7.5699999999999986E-4</v>
      </c>
      <c r="G36" s="97">
        <v>260986</v>
      </c>
      <c r="H36" s="98">
        <v>3.823E-3</v>
      </c>
      <c r="I36" s="37">
        <v>4.4299999999999999E-3</v>
      </c>
      <c r="J36" s="99">
        <f t="shared" si="11"/>
        <v>6.069999999999999E-4</v>
      </c>
      <c r="K36" s="97">
        <v>260986</v>
      </c>
      <c r="L36" s="98">
        <v>3.823E-3</v>
      </c>
      <c r="M36" s="37">
        <v>4.3600000000000002E-3</v>
      </c>
      <c r="N36" s="99">
        <f t="shared" si="12"/>
        <v>5.3700000000000015E-4</v>
      </c>
    </row>
    <row r="37" spans="1:14">
      <c r="A37" s="96" t="s">
        <v>9</v>
      </c>
      <c r="B37" s="100" t="s">
        <v>34</v>
      </c>
      <c r="C37" s="97">
        <v>256638</v>
      </c>
      <c r="D37" s="98">
        <v>4.3949999999999996E-3</v>
      </c>
      <c r="E37" s="37">
        <v>4.5599999999999998E-3</v>
      </c>
      <c r="F37" s="99">
        <f t="shared" si="10"/>
        <v>1.6500000000000022E-4</v>
      </c>
      <c r="G37" s="97">
        <v>256638</v>
      </c>
      <c r="H37" s="98">
        <v>4.3949999999999996E-3</v>
      </c>
      <c r="I37" s="37">
        <v>4.3600000000000002E-3</v>
      </c>
      <c r="J37" s="99">
        <f t="shared" si="11"/>
        <v>-3.4999999999999441E-5</v>
      </c>
      <c r="K37" s="97">
        <v>256638</v>
      </c>
      <c r="L37" s="98">
        <v>4.3949999999999996E-3</v>
      </c>
      <c r="M37" s="37">
        <v>4.2599999999999999E-3</v>
      </c>
      <c r="N37" s="99">
        <f t="shared" si="12"/>
        <v>-1.349999999999997E-4</v>
      </c>
    </row>
    <row r="38" spans="1:14">
      <c r="A38" s="96" t="s">
        <v>9</v>
      </c>
      <c r="B38" s="100" t="s">
        <v>33</v>
      </c>
      <c r="C38" s="97">
        <v>249778</v>
      </c>
      <c r="D38" s="98">
        <v>3.7460000000000002E-3</v>
      </c>
      <c r="E38" s="37">
        <v>4.5500000000000002E-3</v>
      </c>
      <c r="F38" s="99">
        <f t="shared" si="10"/>
        <v>8.0400000000000003E-4</v>
      </c>
      <c r="G38" s="97">
        <v>249778</v>
      </c>
      <c r="H38" s="98">
        <v>3.7460000000000002E-3</v>
      </c>
      <c r="I38" s="37">
        <v>4.3200000000000001E-3</v>
      </c>
      <c r="J38" s="99">
        <f t="shared" si="11"/>
        <v>5.7399999999999986E-4</v>
      </c>
      <c r="K38" s="97">
        <v>249778</v>
      </c>
      <c r="L38" s="98">
        <v>3.7460000000000002E-3</v>
      </c>
      <c r="M38" s="37">
        <v>4.1999999999999997E-3</v>
      </c>
      <c r="N38" s="99">
        <f t="shared" si="12"/>
        <v>4.5399999999999954E-4</v>
      </c>
    </row>
    <row r="39" spans="1:14">
      <c r="A39" s="96" t="s">
        <v>18</v>
      </c>
      <c r="B39" s="100" t="s">
        <v>32</v>
      </c>
      <c r="C39" s="97">
        <v>243309</v>
      </c>
      <c r="D39" s="98">
        <v>3.9389999999999998E-3</v>
      </c>
      <c r="E39" s="37">
        <v>4.45E-3</v>
      </c>
      <c r="F39" s="99">
        <f t="shared" si="10"/>
        <v>5.1100000000000017E-4</v>
      </c>
      <c r="G39" s="97">
        <v>243309</v>
      </c>
      <c r="H39" s="98">
        <v>3.9389999999999998E-3</v>
      </c>
      <c r="I39" s="37">
        <v>4.1999999999999997E-3</v>
      </c>
      <c r="J39" s="99">
        <f t="shared" si="11"/>
        <v>2.6099999999999995E-4</v>
      </c>
      <c r="K39" s="97">
        <v>243309</v>
      </c>
      <c r="L39" s="98">
        <v>3.9389999999999998E-3</v>
      </c>
      <c r="M39" s="37">
        <v>4.0899999999999999E-3</v>
      </c>
      <c r="N39" s="99">
        <f t="shared" si="12"/>
        <v>1.5100000000000009E-4</v>
      </c>
    </row>
    <row r="40" spans="1:14">
      <c r="A40" s="96" t="s">
        <v>18</v>
      </c>
      <c r="B40" s="100" t="s">
        <v>31</v>
      </c>
      <c r="C40" s="97">
        <v>236226</v>
      </c>
      <c r="D40" s="98">
        <v>3.555E-3</v>
      </c>
      <c r="E40" s="37">
        <v>4.4999999999999997E-3</v>
      </c>
      <c r="F40" s="99">
        <f t="shared" si="10"/>
        <v>9.4499999999999966E-4</v>
      </c>
      <c r="G40" s="97">
        <v>236226</v>
      </c>
      <c r="H40" s="98">
        <v>3.555E-3</v>
      </c>
      <c r="I40" s="37">
        <v>4.2500000000000003E-3</v>
      </c>
      <c r="J40" s="99">
        <f t="shared" si="11"/>
        <v>6.9500000000000031E-4</v>
      </c>
      <c r="K40" s="97">
        <v>236226</v>
      </c>
      <c r="L40" s="98">
        <v>3.555E-3</v>
      </c>
      <c r="M40" s="37">
        <v>4.1399999999999996E-3</v>
      </c>
      <c r="N40" s="99">
        <f t="shared" si="12"/>
        <v>5.8499999999999958E-4</v>
      </c>
    </row>
    <row r="41" spans="1:14">
      <c r="A41" s="96" t="s">
        <v>18</v>
      </c>
      <c r="B41" s="100" t="s">
        <v>30</v>
      </c>
      <c r="C41" s="97">
        <v>216890</v>
      </c>
      <c r="D41" s="98">
        <v>4.3109999999999997E-3</v>
      </c>
      <c r="E41" s="37">
        <v>4.7699999999999999E-3</v>
      </c>
      <c r="F41" s="99">
        <f t="shared" si="10"/>
        <v>4.5900000000000021E-4</v>
      </c>
      <c r="G41" s="97">
        <v>216890</v>
      </c>
      <c r="H41" s="98">
        <v>4.3109999999999997E-3</v>
      </c>
      <c r="I41" s="37">
        <v>4.5500000000000002E-3</v>
      </c>
      <c r="J41" s="99">
        <f t="shared" si="11"/>
        <v>2.390000000000005E-4</v>
      </c>
      <c r="K41" s="97">
        <v>216890</v>
      </c>
      <c r="L41" s="98">
        <v>4.3109999999999997E-3</v>
      </c>
      <c r="M41" s="37">
        <v>4.4400000000000004E-3</v>
      </c>
      <c r="N41" s="99">
        <f t="shared" si="12"/>
        <v>1.2900000000000064E-4</v>
      </c>
    </row>
    <row r="42" spans="1:14">
      <c r="A42" s="96" t="s">
        <v>18</v>
      </c>
      <c r="B42" s="100" t="s">
        <v>29</v>
      </c>
      <c r="C42" s="97">
        <v>192659</v>
      </c>
      <c r="D42" s="98">
        <v>4.3509999999999998E-3</v>
      </c>
      <c r="E42" s="37">
        <v>4.5500000000000002E-3</v>
      </c>
      <c r="F42" s="99">
        <f t="shared" si="10"/>
        <v>1.9900000000000039E-4</v>
      </c>
      <c r="G42" s="97">
        <v>192659</v>
      </c>
      <c r="H42" s="98">
        <v>4.3509999999999998E-3</v>
      </c>
      <c r="I42" s="37">
        <v>4.3299999999999996E-3</v>
      </c>
      <c r="J42" s="99">
        <f t="shared" si="11"/>
        <v>-2.1000000000000185E-5</v>
      </c>
      <c r="K42" s="97">
        <v>192659</v>
      </c>
      <c r="L42" s="98">
        <v>4.3509999999999998E-3</v>
      </c>
      <c r="M42" s="37">
        <v>4.2300000000000003E-3</v>
      </c>
      <c r="N42" s="99">
        <f t="shared" si="12"/>
        <v>-1.2099999999999958E-4</v>
      </c>
    </row>
  </sheetData>
  <mergeCells count="14">
    <mergeCell ref="R3:U3"/>
    <mergeCell ref="V3:Y3"/>
    <mergeCell ref="A3:A4"/>
    <mergeCell ref="Q3:Q4"/>
    <mergeCell ref="K9:N9"/>
    <mergeCell ref="B3:C3"/>
    <mergeCell ref="D3:E3"/>
    <mergeCell ref="F3:G3"/>
    <mergeCell ref="H4:I4"/>
    <mergeCell ref="J4:K4"/>
    <mergeCell ref="N4:O4"/>
    <mergeCell ref="C9:F9"/>
    <mergeCell ref="G9:J9"/>
    <mergeCell ref="L4:M4"/>
  </mergeCells>
  <conditionalFormatting sqref="I5:I6 K5:K6">
    <cfRule type="cellIs" dxfId="47" priority="137" operator="greaterThanOrEqual">
      <formula>$B$1</formula>
    </cfRule>
    <cfRule type="cellIs" dxfId="46" priority="138" operator="lessThan">
      <formula>$B$1</formula>
    </cfRule>
  </conditionalFormatting>
  <conditionalFormatting sqref="M5:M6 O5:O6">
    <cfRule type="cellIs" dxfId="45" priority="141" operator="greaterThanOrEqual">
      <formula>$B$1</formula>
    </cfRule>
    <cfRule type="cellIs" dxfId="44" priority="142" operator="lessThan">
      <formula>$B$1</formula>
    </cfRule>
  </conditionalFormatting>
  <conditionalFormatting sqref="W5">
    <cfRule type="cellIs" dxfId="43" priority="55" operator="greaterThanOrEqual">
      <formula>$B$1</formula>
    </cfRule>
    <cfRule type="cellIs" dxfId="42" priority="56" operator="lessThan">
      <formula>$B$1</formula>
    </cfRule>
  </conditionalFormatting>
  <conditionalFormatting sqref="U5 Y5">
    <cfRule type="cellIs" dxfId="41" priority="53" operator="greaterThanOrEqual">
      <formula>$B$1</formula>
    </cfRule>
    <cfRule type="cellIs" dxfId="40" priority="54" operator="lessThan">
      <formula>$B$1</formula>
    </cfRule>
  </conditionalFormatting>
  <conditionalFormatting sqref="W6">
    <cfRule type="cellIs" dxfId="39" priority="39" operator="greaterThanOrEqual">
      <formula>$B$1</formula>
    </cfRule>
    <cfRule type="cellIs" dxfId="38" priority="40" operator="lessThan">
      <formula>$B$1</formula>
    </cfRule>
  </conditionalFormatting>
  <conditionalFormatting sqref="U6 Y6">
    <cfRule type="cellIs" dxfId="37" priority="37" operator="greaterThanOrEqual">
      <formula>$B$1</formula>
    </cfRule>
    <cfRule type="cellIs" dxfId="36" priority="38" operator="lessThan">
      <formula>$B$1</formula>
    </cfRule>
  </conditionalFormatting>
  <conditionalFormatting sqref="S5">
    <cfRule type="cellIs" dxfId="35" priority="35" operator="greaterThanOrEqual">
      <formula>$B$1</formula>
    </cfRule>
    <cfRule type="cellIs" dxfId="34" priority="36" operator="lessThan">
      <formula>$B$1</formula>
    </cfRule>
  </conditionalFormatting>
  <conditionalFormatting sqref="U5">
    <cfRule type="cellIs" dxfId="33" priority="33" operator="greaterThanOrEqual">
      <formula>$B$1</formula>
    </cfRule>
    <cfRule type="cellIs" dxfId="32" priority="34" operator="lessThan">
      <formula>$B$1</formula>
    </cfRule>
  </conditionalFormatting>
  <conditionalFormatting sqref="W5">
    <cfRule type="cellIs" dxfId="31" priority="31" operator="greaterThanOrEqual">
      <formula>$B$1</formula>
    </cfRule>
    <cfRule type="cellIs" dxfId="30" priority="32" operator="lessThan">
      <formula>$B$1</formula>
    </cfRule>
  </conditionalFormatting>
  <conditionalFormatting sqref="Y5">
    <cfRule type="cellIs" dxfId="29" priority="29" operator="greaterThanOrEqual">
      <formula>$B$1</formula>
    </cfRule>
    <cfRule type="cellIs" dxfId="28" priority="30" operator="lessThan">
      <formula>$B$1</formula>
    </cfRule>
  </conditionalFormatting>
  <conditionalFormatting sqref="S6">
    <cfRule type="cellIs" dxfId="27" priority="27" operator="greaterThanOrEqual">
      <formula>$B$1</formula>
    </cfRule>
    <cfRule type="cellIs" dxfId="26" priority="28" operator="lessThan">
      <formula>$B$1</formula>
    </cfRule>
  </conditionalFormatting>
  <conditionalFormatting sqref="U6">
    <cfRule type="cellIs" dxfId="25" priority="25" operator="greaterThanOrEqual">
      <formula>$B$1</formula>
    </cfRule>
    <cfRule type="cellIs" dxfId="24" priority="26" operator="lessThan">
      <formula>$B$1</formula>
    </cfRule>
  </conditionalFormatting>
  <conditionalFormatting sqref="W6">
    <cfRule type="cellIs" dxfId="23" priority="23" operator="greaterThanOrEqual">
      <formula>$B$1</formula>
    </cfRule>
    <cfRule type="cellIs" dxfId="22" priority="24" operator="lessThan">
      <formula>$B$1</formula>
    </cfRule>
  </conditionalFormatting>
  <conditionalFormatting sqref="Y6">
    <cfRule type="cellIs" dxfId="21" priority="21" operator="greaterThanOrEqual">
      <formula>$B$1</formula>
    </cfRule>
    <cfRule type="cellIs" dxfId="20" priority="22" operator="lessThan">
      <formula>$B$1</formula>
    </cfRule>
  </conditionalFormatting>
  <conditionalFormatting sqref="U5:U6">
    <cfRule type="cellIs" dxfId="19" priority="19" operator="greaterThanOrEqual">
      <formula>$B$1</formula>
    </cfRule>
    <cfRule type="cellIs" dxfId="18" priority="20" operator="lessThan">
      <formula>$B$1</formula>
    </cfRule>
  </conditionalFormatting>
  <conditionalFormatting sqref="I7 K7">
    <cfRule type="cellIs" dxfId="17" priority="17" operator="greaterThanOrEqual">
      <formula>$B$1</formula>
    </cfRule>
    <cfRule type="cellIs" dxfId="16" priority="18" operator="lessThan">
      <formula>$B$1</formula>
    </cfRule>
  </conditionalFormatting>
  <conditionalFormatting sqref="M7 O7">
    <cfRule type="cellIs" dxfId="15" priority="15" operator="greaterThanOrEqual">
      <formula>$B$1</formula>
    </cfRule>
    <cfRule type="cellIs" dxfId="14" priority="16" operator="lessThan">
      <formula>$B$1</formula>
    </cfRule>
  </conditionalFormatting>
  <conditionalFormatting sqref="W7">
    <cfRule type="cellIs" dxfId="13" priority="13" operator="greaterThanOrEqual">
      <formula>$B$1</formula>
    </cfRule>
    <cfRule type="cellIs" dxfId="12" priority="14" operator="lessThan">
      <formula>$B$1</formula>
    </cfRule>
  </conditionalFormatting>
  <conditionalFormatting sqref="U7 Y7">
    <cfRule type="cellIs" dxfId="11" priority="11" operator="greaterThanOrEqual">
      <formula>$B$1</formula>
    </cfRule>
    <cfRule type="cellIs" dxfId="10" priority="12" operator="lessThan">
      <formula>$B$1</formula>
    </cfRule>
  </conditionalFormatting>
  <conditionalFormatting sqref="S7">
    <cfRule type="cellIs" dxfId="9" priority="9" operator="greaterThanOrEqual">
      <formula>$B$1</formula>
    </cfRule>
    <cfRule type="cellIs" dxfId="8" priority="10" operator="lessThan">
      <formula>$B$1</formula>
    </cfRule>
  </conditionalFormatting>
  <conditionalFormatting sqref="U7">
    <cfRule type="cellIs" dxfId="7" priority="7" operator="greaterThanOrEqual">
      <formula>$B$1</formula>
    </cfRule>
    <cfRule type="cellIs" dxfId="6" priority="8" operator="lessThan">
      <formula>$B$1</formula>
    </cfRule>
  </conditionalFormatting>
  <conditionalFormatting sqref="W7">
    <cfRule type="cellIs" dxfId="5" priority="5" operator="greaterThanOrEqual">
      <formula>$B$1</formula>
    </cfRule>
    <cfRule type="cellIs" dxfId="4" priority="6" operator="lessThan">
      <formula>$B$1</formula>
    </cfRule>
  </conditionalFormatting>
  <conditionalFormatting sqref="Y7">
    <cfRule type="cellIs" dxfId="3" priority="3" operator="greaterThanOrEqual">
      <formula>$B$1</formula>
    </cfRule>
    <cfRule type="cellIs" dxfId="2" priority="4" operator="lessThan">
      <formula>$B$1</formula>
    </cfRule>
  </conditionalFormatting>
  <conditionalFormatting sqref="U7">
    <cfRule type="cellIs" dxfId="1" priority="1" operator="greaterThanOrEqual">
      <formula>$B$1</formula>
    </cfRule>
    <cfRule type="cellIs" dxfId="0" priority="2" operator="lessThan">
      <formula>$B$1</formula>
    </cfRule>
  </conditionalFormatting>
  <pageMargins left="0.75" right="0.75" top="1" bottom="1" header="0.5" footer="0.5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H67"/>
  <sheetViews>
    <sheetView showGridLines="0" zoomScale="85" zoomScaleNormal="85" workbookViewId="0">
      <selection activeCell="C42" sqref="C42:H44"/>
    </sheetView>
  </sheetViews>
  <sheetFormatPr defaultRowHeight="12.75"/>
  <cols>
    <col min="1" max="1" width="9.140625" style="46"/>
    <col min="2" max="2" width="9.28515625" style="46" customWidth="1"/>
    <col min="3" max="9" width="9.140625" style="46"/>
    <col min="10" max="10" width="9.28515625" style="46" customWidth="1"/>
    <col min="11" max="16384" width="9.140625" style="46"/>
  </cols>
  <sheetData>
    <row r="1" spans="2:32">
      <c r="B1" s="46" t="s">
        <v>114</v>
      </c>
      <c r="J1" s="46" t="s">
        <v>107</v>
      </c>
      <c r="R1" s="46" t="s">
        <v>115</v>
      </c>
      <c r="Z1" s="46" t="s">
        <v>105</v>
      </c>
    </row>
    <row r="2" spans="2:32">
      <c r="B2" s="43" t="s">
        <v>5</v>
      </c>
      <c r="C2" s="44" t="s">
        <v>98</v>
      </c>
      <c r="D2" s="44" t="s">
        <v>99</v>
      </c>
      <c r="E2" s="44" t="s">
        <v>100</v>
      </c>
      <c r="F2" s="44" t="s">
        <v>101</v>
      </c>
      <c r="G2" s="44" t="s">
        <v>102</v>
      </c>
      <c r="H2" s="44" t="s">
        <v>103</v>
      </c>
      <c r="J2" s="43" t="s">
        <v>5</v>
      </c>
      <c r="K2" s="44" t="s">
        <v>98</v>
      </c>
      <c r="L2" s="44" t="s">
        <v>99</v>
      </c>
      <c r="M2" s="44" t="s">
        <v>100</v>
      </c>
      <c r="N2" s="44" t="s">
        <v>101</v>
      </c>
      <c r="O2" s="44" t="s">
        <v>102</v>
      </c>
      <c r="P2" s="44" t="s">
        <v>103</v>
      </c>
      <c r="R2" s="43" t="s">
        <v>5</v>
      </c>
      <c r="S2" s="44" t="s">
        <v>98</v>
      </c>
      <c r="T2" s="44" t="s">
        <v>99</v>
      </c>
      <c r="U2" s="44" t="s">
        <v>100</v>
      </c>
      <c r="V2" s="44" t="s">
        <v>101</v>
      </c>
      <c r="W2" s="44" t="s">
        <v>102</v>
      </c>
      <c r="X2" s="44" t="s">
        <v>103</v>
      </c>
      <c r="Z2" s="43" t="s">
        <v>111</v>
      </c>
      <c r="AA2" s="44" t="s">
        <v>98</v>
      </c>
      <c r="AB2" s="44" t="s">
        <v>99</v>
      </c>
      <c r="AC2" s="44" t="s">
        <v>100</v>
      </c>
      <c r="AD2" s="44" t="s">
        <v>101</v>
      </c>
      <c r="AE2" s="44" t="s">
        <v>102</v>
      </c>
      <c r="AF2" s="44" t="s">
        <v>103</v>
      </c>
    </row>
    <row r="3" spans="2:32">
      <c r="B3" s="43" t="s">
        <v>94</v>
      </c>
      <c r="C3" s="42">
        <v>3.5199556625846434E-3</v>
      </c>
      <c r="D3" s="42">
        <v>6.100226671400151E-3</v>
      </c>
      <c r="E3" s="42">
        <v>1.0551057602702016E-2</v>
      </c>
      <c r="F3" s="42">
        <v>1.2601452634442187E-2</v>
      </c>
      <c r="G3" s="42">
        <v>1.3449431549669265E-2</v>
      </c>
      <c r="H3" s="42">
        <v>1.2914174691240858E-2</v>
      </c>
      <c r="J3" s="43" t="s">
        <v>94</v>
      </c>
      <c r="K3" s="42">
        <v>3.2649250507557773E-3</v>
      </c>
      <c r="L3" s="42">
        <v>5.4694637803131751E-3</v>
      </c>
      <c r="M3" s="42">
        <v>9.2181936081653319E-3</v>
      </c>
      <c r="N3" s="42">
        <v>1.158168838696846E-2</v>
      </c>
      <c r="O3" s="42">
        <v>1.3113037405506369E-2</v>
      </c>
      <c r="P3" s="42">
        <v>1.3115813577021502E-2</v>
      </c>
      <c r="R3" s="43" t="s">
        <v>94</v>
      </c>
      <c r="S3" s="42">
        <v>3.1434731842057166E-3</v>
      </c>
      <c r="T3" s="42">
        <v>5.1480113144261007E-3</v>
      </c>
      <c r="U3" s="42">
        <v>8.5129962276741054E-3</v>
      </c>
      <c r="V3" s="42">
        <v>1.0910014087551344E-2</v>
      </c>
      <c r="W3" s="42">
        <v>1.2727443614885509E-2</v>
      </c>
      <c r="X3" s="42">
        <v>1.3050909737068888E-2</v>
      </c>
      <c r="Z3" s="41" t="s">
        <v>64</v>
      </c>
      <c r="AA3" s="45">
        <v>194776430323</v>
      </c>
      <c r="AB3" s="45">
        <v>177907501113.82001</v>
      </c>
      <c r="AC3" s="45">
        <v>183260116741.10999</v>
      </c>
      <c r="AD3" s="45">
        <v>197782210852.37</v>
      </c>
      <c r="AE3" s="45">
        <v>213180630814.72</v>
      </c>
      <c r="AF3" s="45">
        <v>225369779351.45999</v>
      </c>
    </row>
    <row r="4" spans="2:32">
      <c r="B4" s="43" t="s">
        <v>95</v>
      </c>
      <c r="C4" s="42">
        <v>4.7596979426329053E-2</v>
      </c>
      <c r="D4" s="42">
        <v>6.0707642964182171E-2</v>
      </c>
      <c r="E4" s="42">
        <v>7.7874500088250254E-2</v>
      </c>
      <c r="F4" s="42">
        <v>7.4475852799877007E-2</v>
      </c>
      <c r="G4" s="42">
        <v>7.1861277130557052E-2</v>
      </c>
      <c r="H4" s="42">
        <v>6.9477723053394336E-2</v>
      </c>
      <c r="J4" s="43" t="s">
        <v>95</v>
      </c>
      <c r="K4" s="42">
        <v>4.7596979426329053E-2</v>
      </c>
      <c r="L4" s="42">
        <v>6.0707642964182171E-2</v>
      </c>
      <c r="M4" s="42">
        <v>7.7874500088250254E-2</v>
      </c>
      <c r="N4" s="42">
        <v>7.4475852799877007E-2</v>
      </c>
      <c r="O4" s="42">
        <v>7.1861277130557052E-2</v>
      </c>
      <c r="P4" s="42">
        <v>6.9477723053394336E-2</v>
      </c>
      <c r="R4" s="43" t="s">
        <v>95</v>
      </c>
      <c r="S4" s="42">
        <v>4.7596979426329053E-2</v>
      </c>
      <c r="T4" s="42">
        <v>6.0707642964182171E-2</v>
      </c>
      <c r="U4" s="42">
        <v>7.7874500088250254E-2</v>
      </c>
      <c r="V4" s="42">
        <v>7.4475852799877007E-2</v>
      </c>
      <c r="W4" s="42">
        <v>7.1861277130557052E-2</v>
      </c>
      <c r="X4" s="42">
        <v>6.9477723053394336E-2</v>
      </c>
      <c r="Z4" s="41" t="s">
        <v>104</v>
      </c>
      <c r="AA4" s="45">
        <v>3.47</v>
      </c>
      <c r="AB4" s="41">
        <v>3.21</v>
      </c>
      <c r="AC4" s="41">
        <v>4.1563551329999999</v>
      </c>
      <c r="AD4" s="41">
        <v>4.546446328</v>
      </c>
      <c r="AE4" s="41">
        <v>4.2636880599999998</v>
      </c>
      <c r="AF4" s="41">
        <v>4.212198291</v>
      </c>
    </row>
    <row r="5" spans="2:32">
      <c r="B5" s="43" t="s">
        <v>96</v>
      </c>
      <c r="C5" s="42">
        <v>0.26919086188336483</v>
      </c>
      <c r="D5" s="42">
        <v>0.31610553157652238</v>
      </c>
      <c r="E5" s="42">
        <v>0.380415704161577</v>
      </c>
      <c r="F5" s="42">
        <v>0.35834710890928623</v>
      </c>
      <c r="G5" s="42">
        <v>0.34989250363771968</v>
      </c>
      <c r="H5" s="42">
        <v>0.32910380476159062</v>
      </c>
      <c r="J5" s="43" t="s">
        <v>96</v>
      </c>
      <c r="K5" s="42">
        <v>0.26919086188336483</v>
      </c>
      <c r="L5" s="42">
        <v>0.31610553157652238</v>
      </c>
      <c r="M5" s="42">
        <v>0.380415704161577</v>
      </c>
      <c r="N5" s="42">
        <v>0.35834710890928623</v>
      </c>
      <c r="O5" s="42">
        <v>0.34989250363771968</v>
      </c>
      <c r="P5" s="42">
        <v>0.32910380476159062</v>
      </c>
      <c r="R5" s="43" t="s">
        <v>96</v>
      </c>
      <c r="S5" s="42">
        <v>0.26919086188336483</v>
      </c>
      <c r="T5" s="42">
        <v>0.31610553157652238</v>
      </c>
      <c r="U5" s="42">
        <v>0.380415704161577</v>
      </c>
      <c r="V5" s="42">
        <v>0.35834710890928623</v>
      </c>
      <c r="W5" s="42">
        <v>0.34989250363771968</v>
      </c>
      <c r="X5" s="42">
        <v>0.32910380476159062</v>
      </c>
    </row>
    <row r="6" spans="2:32">
      <c r="B6" s="43" t="s">
        <v>97</v>
      </c>
      <c r="C6" s="42">
        <v>0.71870791943439882</v>
      </c>
      <c r="D6" s="42">
        <v>0.74334336713441118</v>
      </c>
      <c r="E6" s="42">
        <v>0.7726686421547303</v>
      </c>
      <c r="F6" s="42">
        <v>0.75242960657494784</v>
      </c>
      <c r="G6" s="42">
        <v>0.74929017573425216</v>
      </c>
      <c r="H6" s="42">
        <v>0.72036701384766921</v>
      </c>
      <c r="J6" s="43" t="s">
        <v>97</v>
      </c>
      <c r="K6" s="42">
        <v>0.71870791943439882</v>
      </c>
      <c r="L6" s="42">
        <v>0.74334336713441118</v>
      </c>
      <c r="M6" s="42">
        <v>0.7726686421547303</v>
      </c>
      <c r="N6" s="42">
        <v>0.75242960657494784</v>
      </c>
      <c r="O6" s="42">
        <v>0.74929017573425216</v>
      </c>
      <c r="P6" s="42">
        <v>0.72036701384766921</v>
      </c>
      <c r="R6" s="43" t="s">
        <v>97</v>
      </c>
      <c r="S6" s="42">
        <v>0.71870791943439882</v>
      </c>
      <c r="T6" s="42">
        <v>0.74334336713441118</v>
      </c>
      <c r="U6" s="42">
        <v>0.7726686421547303</v>
      </c>
      <c r="V6" s="42">
        <v>0.75242960657494784</v>
      </c>
      <c r="W6" s="42">
        <v>0.74929017573425216</v>
      </c>
      <c r="X6" s="42">
        <v>0.72036701384766921</v>
      </c>
    </row>
    <row r="7" spans="2:32">
      <c r="B7" s="43" t="s">
        <v>25</v>
      </c>
      <c r="C7" s="42">
        <v>1.7967110899393263E-2</v>
      </c>
      <c r="D7" s="42">
        <v>2.2501693763674762E-2</v>
      </c>
      <c r="E7" s="42">
        <v>2.9429298813726849E-2</v>
      </c>
      <c r="F7" s="42">
        <v>3.0363520837680239E-2</v>
      </c>
      <c r="G7" s="42">
        <v>3.0701473863036271E-2</v>
      </c>
      <c r="H7" s="42">
        <v>2.9385100052908123E-2</v>
      </c>
      <c r="J7" s="43" t="s">
        <v>25</v>
      </c>
      <c r="K7" s="42">
        <v>1.7740523368176608E-2</v>
      </c>
      <c r="L7" s="42">
        <v>2.1941278661936372E-2</v>
      </c>
      <c r="M7" s="42">
        <v>2.8245086613458526E-2</v>
      </c>
      <c r="N7" s="42">
        <v>2.9457488963306133E-2</v>
      </c>
      <c r="O7" s="42">
        <v>3.0402597119985688E-2</v>
      </c>
      <c r="P7" s="42">
        <v>2.9564250536054722E-2</v>
      </c>
      <c r="R7" s="43" t="s">
        <v>25</v>
      </c>
      <c r="S7" s="42">
        <v>1.7632616798036314E-2</v>
      </c>
      <c r="T7" s="42">
        <v>2.1655677180112159E-2</v>
      </c>
      <c r="U7" s="42">
        <v>2.7618538559795132E-2</v>
      </c>
      <c r="V7" s="42">
        <v>2.886072522504271E-2</v>
      </c>
      <c r="W7" s="42">
        <v>3.0060007873766555E-2</v>
      </c>
      <c r="X7" s="42">
        <v>2.950658529831764E-2</v>
      </c>
    </row>
    <row r="31" spans="2:8">
      <c r="B31" s="70" t="s">
        <v>112</v>
      </c>
      <c r="C31" s="70" t="s">
        <v>98</v>
      </c>
      <c r="D31" s="70" t="s">
        <v>99</v>
      </c>
      <c r="E31" s="70" t="s">
        <v>100</v>
      </c>
      <c r="F31" s="70" t="s">
        <v>101</v>
      </c>
      <c r="G31" s="70" t="s">
        <v>102</v>
      </c>
      <c r="H31" s="70" t="s">
        <v>103</v>
      </c>
    </row>
    <row r="32" spans="2:8">
      <c r="B32" s="69" t="s">
        <v>122</v>
      </c>
      <c r="C32" s="42">
        <v>1.7967110899393263E-2</v>
      </c>
      <c r="D32" s="42">
        <v>2.2501693763674762E-2</v>
      </c>
      <c r="E32" s="42">
        <v>2.9429298813726849E-2</v>
      </c>
      <c r="F32" s="42">
        <v>3.0363520837680239E-2</v>
      </c>
      <c r="G32" s="42">
        <v>3.0701473863036271E-2</v>
      </c>
      <c r="H32" s="42">
        <v>2.9385100052908123E-2</v>
      </c>
    </row>
    <row r="33" spans="2:34">
      <c r="B33" s="69" t="s">
        <v>67</v>
      </c>
      <c r="C33" s="42">
        <v>1.7740523368176608E-2</v>
      </c>
      <c r="D33" s="42">
        <v>2.1941278661936372E-2</v>
      </c>
      <c r="E33" s="42">
        <v>2.8245086613458526E-2</v>
      </c>
      <c r="F33" s="42">
        <v>2.9457488963306133E-2</v>
      </c>
      <c r="G33" s="42">
        <v>3.0402597119985688E-2</v>
      </c>
      <c r="H33" s="42">
        <v>2.9564250536054722E-2</v>
      </c>
    </row>
    <row r="34" spans="2:34">
      <c r="B34" s="119" t="s">
        <v>68</v>
      </c>
      <c r="C34" s="120">
        <v>1.7632616798036314E-2</v>
      </c>
      <c r="D34" s="120">
        <v>2.1655677180112159E-2</v>
      </c>
      <c r="E34" s="120">
        <v>2.7618538559795132E-2</v>
      </c>
      <c r="F34" s="120">
        <v>2.886072522504271E-2</v>
      </c>
      <c r="G34" s="120">
        <v>3.0060007873766555E-2</v>
      </c>
      <c r="H34" s="120">
        <v>2.950658529831764E-2</v>
      </c>
    </row>
    <row r="35" spans="2:34">
      <c r="B35" s="41" t="s">
        <v>104</v>
      </c>
      <c r="C35" s="45">
        <v>3.47</v>
      </c>
      <c r="D35" s="41">
        <v>3.21</v>
      </c>
      <c r="E35" s="41">
        <v>4.1563551329999999</v>
      </c>
      <c r="F35" s="41">
        <v>4.546446328</v>
      </c>
      <c r="G35" s="41">
        <v>4.2636880599999998</v>
      </c>
      <c r="H35" s="41">
        <v>4.212198291</v>
      </c>
    </row>
    <row r="39" spans="2:34">
      <c r="Z39" s="113">
        <v>0.6</v>
      </c>
      <c r="AA39" s="112"/>
      <c r="AB39" s="112"/>
      <c r="AC39" s="112"/>
      <c r="AD39" s="112"/>
      <c r="AE39" s="112"/>
      <c r="AF39" s="112"/>
      <c r="AG39" s="112"/>
      <c r="AH39" s="112"/>
    </row>
    <row r="40" spans="2:34">
      <c r="Z40" s="114">
        <v>201712</v>
      </c>
      <c r="AA40" s="114">
        <v>201812</v>
      </c>
      <c r="AB40" s="114">
        <v>201912</v>
      </c>
      <c r="AC40" s="114">
        <v>202012</v>
      </c>
      <c r="AD40" s="114">
        <v>202112</v>
      </c>
      <c r="AE40" s="114">
        <v>202112</v>
      </c>
      <c r="AF40" s="115" t="s">
        <v>121</v>
      </c>
      <c r="AG40" s="112"/>
      <c r="AH40" s="112"/>
    </row>
    <row r="41" spans="2:34">
      <c r="B41" s="70" t="s">
        <v>112</v>
      </c>
      <c r="C41" s="70" t="s">
        <v>98</v>
      </c>
      <c r="D41" s="70" t="s">
        <v>99</v>
      </c>
      <c r="E41" s="70" t="s">
        <v>100</v>
      </c>
      <c r="F41" s="70" t="s">
        <v>101</v>
      </c>
      <c r="G41" s="70" t="s">
        <v>102</v>
      </c>
      <c r="H41" s="70" t="s">
        <v>103</v>
      </c>
      <c r="Z41" s="116">
        <v>3.2649250507557773E-3</v>
      </c>
      <c r="AA41" s="116">
        <v>5.4694637803131751E-3</v>
      </c>
      <c r="AB41" s="116">
        <v>9.2181936081653319E-3</v>
      </c>
      <c r="AC41" s="116">
        <v>1.158168838696846E-2</v>
      </c>
      <c r="AD41" s="116">
        <v>1.3113037405506369E-2</v>
      </c>
      <c r="AE41" s="116">
        <v>1.3115813577021502E-2</v>
      </c>
      <c r="AF41" s="117">
        <v>31013</v>
      </c>
      <c r="AG41" s="112"/>
      <c r="AH41" s="112"/>
    </row>
    <row r="42" spans="2:34">
      <c r="B42" s="69" t="s">
        <v>122</v>
      </c>
      <c r="C42" s="42">
        <v>3.5199556625846434E-3</v>
      </c>
      <c r="D42" s="42">
        <v>6.100226671400151E-3</v>
      </c>
      <c r="E42" s="42">
        <v>1.0551057602702016E-2</v>
      </c>
      <c r="F42" s="42">
        <v>1.2601452634442187E-2</v>
      </c>
      <c r="G42" s="42">
        <v>1.3449431549669265E-2</v>
      </c>
      <c r="H42" s="42">
        <v>1.2914174691240858E-2</v>
      </c>
      <c r="Z42" s="116">
        <v>4.7596979426329053E-2</v>
      </c>
      <c r="AA42" s="116">
        <v>6.0707642964182171E-2</v>
      </c>
      <c r="AB42" s="116">
        <v>7.7874500088250254E-2</v>
      </c>
      <c r="AC42" s="116">
        <v>7.4475852799877007E-2</v>
      </c>
      <c r="AD42" s="116">
        <v>7.1861277130557052E-2</v>
      </c>
      <c r="AE42" s="116">
        <v>6.9477723053394336E-2</v>
      </c>
      <c r="AF42" s="117">
        <v>2917</v>
      </c>
      <c r="AG42" s="112"/>
      <c r="AH42" s="112"/>
    </row>
    <row r="43" spans="2:34">
      <c r="B43" s="69" t="s">
        <v>67</v>
      </c>
      <c r="C43" s="42">
        <v>3.2649250507557773E-3</v>
      </c>
      <c r="D43" s="42">
        <v>5.4694637803131751E-3</v>
      </c>
      <c r="E43" s="42">
        <v>9.2181936081653319E-3</v>
      </c>
      <c r="F43" s="42">
        <v>1.158168838696846E-2</v>
      </c>
      <c r="G43" s="42">
        <v>1.3113037405506369E-2</v>
      </c>
      <c r="H43" s="42">
        <v>1.3115813577021502E-2</v>
      </c>
      <c r="Z43" s="116">
        <v>0.26919086188336483</v>
      </c>
      <c r="AA43" s="116">
        <v>0.31610553157652238</v>
      </c>
      <c r="AB43" s="116">
        <v>0.380415704161577</v>
      </c>
      <c r="AC43" s="116">
        <v>0.35834710890928623</v>
      </c>
      <c r="AD43" s="116">
        <v>0.34989250363771968</v>
      </c>
      <c r="AE43" s="116">
        <v>0.32910380476159062</v>
      </c>
      <c r="AF43" s="117">
        <v>717</v>
      </c>
      <c r="AG43" s="112"/>
      <c r="AH43" s="112"/>
    </row>
    <row r="44" spans="2:34">
      <c r="B44" s="119" t="s">
        <v>68</v>
      </c>
      <c r="C44" s="42">
        <v>3.1434731842057166E-3</v>
      </c>
      <c r="D44" s="42">
        <v>5.1480113144261007E-3</v>
      </c>
      <c r="E44" s="42">
        <v>8.5129962276741054E-3</v>
      </c>
      <c r="F44" s="42">
        <v>1.0910014087551344E-2</v>
      </c>
      <c r="G44" s="42">
        <v>1.2727443614885509E-2</v>
      </c>
      <c r="H44" s="42">
        <v>1.3050909737068888E-2</v>
      </c>
      <c r="Z44" s="116">
        <v>0.71870791943439882</v>
      </c>
      <c r="AA44" s="116">
        <v>0.74334336713441118</v>
      </c>
      <c r="AB44" s="116">
        <v>0.7726686421547303</v>
      </c>
      <c r="AC44" s="116">
        <v>0.75242960657494784</v>
      </c>
      <c r="AD44" s="116">
        <v>0.74929017573425216</v>
      </c>
      <c r="AE44" s="116">
        <v>0.72036701384766921</v>
      </c>
      <c r="AF44" s="117">
        <v>259</v>
      </c>
      <c r="AG44" s="112"/>
      <c r="AH44" s="112"/>
    </row>
    <row r="45" spans="2:34">
      <c r="B45" s="41" t="s">
        <v>104</v>
      </c>
      <c r="C45" s="45">
        <v>3.47</v>
      </c>
      <c r="D45" s="41">
        <v>3.21</v>
      </c>
      <c r="E45" s="41">
        <v>4.1563551329999999</v>
      </c>
      <c r="F45" s="41">
        <v>4.546446328</v>
      </c>
      <c r="G45" s="41">
        <v>4.2636880599999998</v>
      </c>
      <c r="H45" s="41">
        <v>4.212198291</v>
      </c>
      <c r="Z45" s="118">
        <v>1.7740523368176608E-2</v>
      </c>
      <c r="AA45" s="118">
        <v>2.1941278661936372E-2</v>
      </c>
      <c r="AB45" s="118">
        <v>2.8245086613458526E-2</v>
      </c>
      <c r="AC45" s="118">
        <v>2.9457488963306133E-2</v>
      </c>
      <c r="AD45" s="118">
        <v>3.0402597119985688E-2</v>
      </c>
      <c r="AE45" s="118">
        <v>2.9564250536054722E-2</v>
      </c>
      <c r="AF45" s="112"/>
      <c r="AG45" s="112"/>
      <c r="AH45" s="112"/>
    </row>
    <row r="46" spans="2:34">
      <c r="Z46" s="112"/>
      <c r="AA46" s="112"/>
      <c r="AB46" s="112"/>
      <c r="AC46" s="112"/>
      <c r="AD46" s="112"/>
      <c r="AE46" s="112"/>
      <c r="AF46" s="112"/>
      <c r="AG46" s="112"/>
      <c r="AH46" s="112"/>
    </row>
    <row r="47" spans="2:34">
      <c r="Z47" s="113">
        <v>0.5</v>
      </c>
      <c r="AA47" s="112"/>
      <c r="AB47" s="112"/>
      <c r="AC47" s="112"/>
      <c r="AD47" s="112"/>
      <c r="AE47" s="112"/>
      <c r="AF47" s="112"/>
      <c r="AG47" s="112"/>
      <c r="AH47" s="112"/>
    </row>
    <row r="48" spans="2:34">
      <c r="Z48" s="114">
        <v>201712</v>
      </c>
      <c r="AA48" s="114">
        <v>201812</v>
      </c>
      <c r="AB48" s="114">
        <v>201912</v>
      </c>
      <c r="AC48" s="114">
        <v>202012</v>
      </c>
      <c r="AD48" s="114">
        <v>202112</v>
      </c>
      <c r="AE48" s="114">
        <v>202112</v>
      </c>
      <c r="AF48" s="115" t="s">
        <v>121</v>
      </c>
      <c r="AG48" s="112"/>
      <c r="AH48" s="112"/>
    </row>
    <row r="49" spans="26:34">
      <c r="Z49" s="116">
        <v>3.5199556625846434E-3</v>
      </c>
      <c r="AA49" s="116">
        <v>6.100226671400151E-3</v>
      </c>
      <c r="AB49" s="116">
        <v>1.0551057602702016E-2</v>
      </c>
      <c r="AC49" s="116">
        <v>1.2601452634442187E-2</v>
      </c>
      <c r="AD49" s="116">
        <v>1.3449431549669265E-2</v>
      </c>
      <c r="AE49" s="116">
        <v>1.2914174691240858E-2</v>
      </c>
      <c r="AF49" s="117">
        <v>31013</v>
      </c>
      <c r="AG49" s="112"/>
      <c r="AH49" s="112"/>
    </row>
    <row r="50" spans="26:34">
      <c r="Z50" s="116">
        <v>4.7596979426329053E-2</v>
      </c>
      <c r="AA50" s="116">
        <v>6.0707642964182171E-2</v>
      </c>
      <c r="AB50" s="116">
        <v>7.7874500088250254E-2</v>
      </c>
      <c r="AC50" s="116">
        <v>7.4475852799877007E-2</v>
      </c>
      <c r="AD50" s="116">
        <v>7.1861277130557052E-2</v>
      </c>
      <c r="AE50" s="116">
        <v>6.9477723053394336E-2</v>
      </c>
      <c r="AF50" s="117">
        <v>2917</v>
      </c>
      <c r="AG50" s="112"/>
      <c r="AH50" s="112"/>
    </row>
    <row r="51" spans="26:34">
      <c r="Z51" s="116">
        <v>0.26919086188336483</v>
      </c>
      <c r="AA51" s="116">
        <v>0.31610553157652238</v>
      </c>
      <c r="AB51" s="116">
        <v>0.380415704161577</v>
      </c>
      <c r="AC51" s="116">
        <v>0.35834710890928623</v>
      </c>
      <c r="AD51" s="116">
        <v>0.34989250363771968</v>
      </c>
      <c r="AE51" s="116">
        <v>0.32910380476159062</v>
      </c>
      <c r="AF51" s="117">
        <v>717</v>
      </c>
      <c r="AG51" s="112"/>
      <c r="AH51" s="112"/>
    </row>
    <row r="52" spans="26:34">
      <c r="Z52" s="116">
        <v>0.71870791943439882</v>
      </c>
      <c r="AA52" s="116">
        <v>0.74334336713441118</v>
      </c>
      <c r="AB52" s="116">
        <v>0.7726686421547303</v>
      </c>
      <c r="AC52" s="116">
        <v>0.75242960657494784</v>
      </c>
      <c r="AD52" s="116">
        <v>0.74929017573425216</v>
      </c>
      <c r="AE52" s="116">
        <v>0.72036701384766921</v>
      </c>
      <c r="AF52" s="117">
        <v>259</v>
      </c>
      <c r="AG52" s="112"/>
      <c r="AH52" s="112"/>
    </row>
    <row r="53" spans="26:34">
      <c r="Z53" s="118">
        <v>1.7967110899393263E-2</v>
      </c>
      <c r="AA53" s="118">
        <v>2.2501693763674762E-2</v>
      </c>
      <c r="AB53" s="118">
        <v>2.9429298813726849E-2</v>
      </c>
      <c r="AC53" s="118">
        <v>3.0363520837680239E-2</v>
      </c>
      <c r="AD53" s="118">
        <v>3.0701473863036271E-2</v>
      </c>
      <c r="AE53" s="118">
        <v>2.9385100052908123E-2</v>
      </c>
      <c r="AF53" s="112"/>
      <c r="AG53" s="112"/>
      <c r="AH53" s="112"/>
    </row>
    <row r="54" spans="26:34">
      <c r="Z54" s="112"/>
      <c r="AA54" s="112"/>
      <c r="AB54" s="112"/>
      <c r="AC54" s="112"/>
      <c r="AD54" s="112"/>
      <c r="AE54" s="112"/>
      <c r="AF54" s="112"/>
      <c r="AG54" s="112"/>
      <c r="AH54" s="112"/>
    </row>
    <row r="55" spans="26:34">
      <c r="Z55" s="113">
        <v>0.65</v>
      </c>
      <c r="AA55" s="112"/>
      <c r="AB55" s="112"/>
      <c r="AC55" s="112"/>
      <c r="AD55" s="112"/>
      <c r="AE55" s="112"/>
      <c r="AF55" s="112"/>
      <c r="AG55" s="112"/>
      <c r="AH55" s="112"/>
    </row>
    <row r="56" spans="26:34">
      <c r="Z56" s="114">
        <v>201712</v>
      </c>
      <c r="AA56" s="114">
        <v>201812</v>
      </c>
      <c r="AB56" s="114">
        <v>201912</v>
      </c>
      <c r="AC56" s="114">
        <v>202012</v>
      </c>
      <c r="AD56" s="114">
        <v>202112</v>
      </c>
      <c r="AE56" s="114">
        <v>202112</v>
      </c>
      <c r="AF56" s="115" t="s">
        <v>121</v>
      </c>
      <c r="AG56" s="112"/>
      <c r="AH56" s="112"/>
    </row>
    <row r="57" spans="26:34">
      <c r="Z57" s="116">
        <v>3.1434731842057166E-3</v>
      </c>
      <c r="AA57" s="116">
        <v>5.1480113144261007E-3</v>
      </c>
      <c r="AB57" s="116">
        <v>8.5129962276741054E-3</v>
      </c>
      <c r="AC57" s="116">
        <v>1.0910014087551344E-2</v>
      </c>
      <c r="AD57" s="116">
        <v>1.2727443614885509E-2</v>
      </c>
      <c r="AE57" s="116">
        <v>1.3050909737068888E-2</v>
      </c>
      <c r="AF57" s="117">
        <v>31013</v>
      </c>
      <c r="AG57" s="112"/>
      <c r="AH57" s="112"/>
    </row>
    <row r="58" spans="26:34">
      <c r="Z58" s="116">
        <v>4.7596979426329053E-2</v>
      </c>
      <c r="AA58" s="116">
        <v>6.0707642964182171E-2</v>
      </c>
      <c r="AB58" s="116">
        <v>7.7874500088250254E-2</v>
      </c>
      <c r="AC58" s="116">
        <v>7.4475852799877007E-2</v>
      </c>
      <c r="AD58" s="116">
        <v>7.1861277130557052E-2</v>
      </c>
      <c r="AE58" s="116">
        <v>6.9477723053394336E-2</v>
      </c>
      <c r="AF58" s="117">
        <v>2917</v>
      </c>
      <c r="AG58" s="112"/>
      <c r="AH58" s="112"/>
    </row>
    <row r="59" spans="26:34">
      <c r="Z59" s="116">
        <v>0.26919086188336483</v>
      </c>
      <c r="AA59" s="116">
        <v>0.31610553157652238</v>
      </c>
      <c r="AB59" s="116">
        <v>0.380415704161577</v>
      </c>
      <c r="AC59" s="116">
        <v>0.35834710890928623</v>
      </c>
      <c r="AD59" s="116">
        <v>0.34989250363771968</v>
      </c>
      <c r="AE59" s="116">
        <v>0.32910380476159062</v>
      </c>
      <c r="AF59" s="117">
        <v>717</v>
      </c>
      <c r="AG59" s="112"/>
      <c r="AH59" s="112"/>
    </row>
    <row r="60" spans="26:34">
      <c r="Z60" s="116">
        <v>0.71870791943439882</v>
      </c>
      <c r="AA60" s="116">
        <v>0.74334336713441118</v>
      </c>
      <c r="AB60" s="116">
        <v>0.7726686421547303</v>
      </c>
      <c r="AC60" s="116">
        <v>0.75242960657494784</v>
      </c>
      <c r="AD60" s="116">
        <v>0.74929017573425216</v>
      </c>
      <c r="AE60" s="116">
        <v>0.72036701384766921</v>
      </c>
      <c r="AF60" s="117">
        <v>259</v>
      </c>
      <c r="AG60" s="112"/>
      <c r="AH60" s="112"/>
    </row>
    <row r="61" spans="26:34">
      <c r="Z61" s="118">
        <v>1.7632616798036314E-2</v>
      </c>
      <c r="AA61" s="118">
        <v>2.1655677180112159E-2</v>
      </c>
      <c r="AB61" s="118">
        <v>2.7618538559795132E-2</v>
      </c>
      <c r="AC61" s="118">
        <v>2.886072522504271E-2</v>
      </c>
      <c r="AD61" s="118">
        <v>3.0060007873766555E-2</v>
      </c>
      <c r="AE61" s="118">
        <v>2.950658529831764E-2</v>
      </c>
      <c r="AF61" s="112"/>
      <c r="AG61" s="112"/>
      <c r="AH61" s="112"/>
    </row>
    <row r="62" spans="26:34">
      <c r="Z62" s="112"/>
      <c r="AA62" s="112"/>
      <c r="AB62" s="112"/>
      <c r="AC62" s="112"/>
      <c r="AD62" s="112"/>
      <c r="AE62" s="112"/>
      <c r="AF62" s="112"/>
      <c r="AG62" s="112"/>
      <c r="AH62" s="112"/>
    </row>
    <row r="63" spans="26:34">
      <c r="Z63" s="112"/>
      <c r="AA63" s="112"/>
      <c r="AB63" s="112"/>
      <c r="AC63" s="112"/>
      <c r="AD63" s="112"/>
      <c r="AE63" s="112"/>
      <c r="AF63" s="112"/>
      <c r="AG63" s="112"/>
      <c r="AH63" s="112"/>
    </row>
    <row r="64" spans="26:34">
      <c r="Z64" s="112"/>
      <c r="AA64" s="112"/>
      <c r="AB64" s="112"/>
      <c r="AC64" s="112"/>
      <c r="AD64" s="112"/>
      <c r="AE64" s="112"/>
      <c r="AF64" s="112"/>
      <c r="AG64" s="112"/>
      <c r="AH64" s="112"/>
    </row>
    <row r="65" spans="26:34">
      <c r="Z65" s="112"/>
      <c r="AA65" s="112"/>
      <c r="AB65" s="112"/>
      <c r="AC65" s="112"/>
      <c r="AD65" s="112"/>
      <c r="AE65" s="112"/>
      <c r="AF65" s="112"/>
      <c r="AG65" s="112"/>
      <c r="AH65" s="112"/>
    </row>
    <row r="66" spans="26:34">
      <c r="Z66" s="112"/>
      <c r="AA66" s="112"/>
      <c r="AB66" s="112"/>
      <c r="AC66" s="112"/>
      <c r="AD66" s="112"/>
      <c r="AE66" s="112"/>
      <c r="AF66" s="112"/>
      <c r="AG66" s="112"/>
      <c r="AH66" s="112"/>
    </row>
    <row r="67" spans="26:34">
      <c r="Z67" s="112"/>
      <c r="AA67" s="112"/>
      <c r="AB67" s="112"/>
      <c r="AC67" s="112"/>
      <c r="AD67" s="112"/>
      <c r="AE67" s="112"/>
      <c r="AF67" s="112"/>
      <c r="AG67" s="112"/>
      <c r="AH67" s="11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69"/>
  <sheetViews>
    <sheetView topLeftCell="D25" workbookViewId="0">
      <selection activeCell="K58" sqref="K58"/>
    </sheetView>
  </sheetViews>
  <sheetFormatPr defaultRowHeight="12.75"/>
  <sheetData>
    <row r="1" spans="1:27">
      <c r="A1" s="125" t="s">
        <v>126</v>
      </c>
      <c r="B1" s="160" t="s">
        <v>124</v>
      </c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2"/>
      <c r="O1" s="160" t="s">
        <v>125</v>
      </c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2"/>
    </row>
    <row r="2" spans="1:27">
      <c r="A2" s="127" t="s">
        <v>132</v>
      </c>
      <c r="B2" s="126">
        <v>21732</v>
      </c>
      <c r="C2" s="126">
        <v>23373</v>
      </c>
      <c r="D2" s="126">
        <v>23361</v>
      </c>
      <c r="E2" s="126">
        <v>23671</v>
      </c>
      <c r="F2" s="126">
        <v>23848</v>
      </c>
      <c r="G2" s="126">
        <v>24067</v>
      </c>
      <c r="H2" s="126">
        <v>24137</v>
      </c>
      <c r="I2" s="126">
        <v>24223</v>
      </c>
      <c r="J2" s="126">
        <v>24046</v>
      </c>
      <c r="K2" s="126">
        <v>23958</v>
      </c>
      <c r="L2" s="126">
        <v>23998</v>
      </c>
      <c r="M2" s="126">
        <v>23892</v>
      </c>
      <c r="N2" s="126">
        <v>284306</v>
      </c>
      <c r="O2" s="126">
        <v>21732</v>
      </c>
      <c r="P2" s="126">
        <v>23373</v>
      </c>
      <c r="Q2" s="126">
        <v>23361</v>
      </c>
      <c r="R2" s="126">
        <v>23671</v>
      </c>
      <c r="S2" s="126">
        <v>23848</v>
      </c>
      <c r="T2" s="126">
        <v>24067</v>
      </c>
      <c r="U2" s="126">
        <v>24137</v>
      </c>
      <c r="V2" s="126">
        <v>24223</v>
      </c>
      <c r="W2" s="126">
        <v>24046</v>
      </c>
      <c r="X2" s="126">
        <v>23958</v>
      </c>
      <c r="Y2" s="126">
        <v>23998</v>
      </c>
      <c r="Z2" s="126">
        <v>23892</v>
      </c>
      <c r="AA2" s="126">
        <v>284306</v>
      </c>
    </row>
    <row r="3" spans="1:27">
      <c r="A3" s="121" t="s">
        <v>123</v>
      </c>
      <c r="B3" s="121" t="s">
        <v>60</v>
      </c>
      <c r="C3" s="121" t="s">
        <v>59</v>
      </c>
      <c r="D3" s="121" t="s">
        <v>58</v>
      </c>
      <c r="E3" s="121" t="s">
        <v>57</v>
      </c>
      <c r="F3" s="121" t="s">
        <v>56</v>
      </c>
      <c r="G3" s="121" t="s">
        <v>55</v>
      </c>
      <c r="H3" s="121" t="s">
        <v>54</v>
      </c>
      <c r="I3" s="121" t="s">
        <v>53</v>
      </c>
      <c r="J3" s="121" t="s">
        <v>52</v>
      </c>
      <c r="K3" s="121" t="s">
        <v>51</v>
      </c>
      <c r="L3" s="122" t="s">
        <v>50</v>
      </c>
      <c r="M3" s="121" t="s">
        <v>49</v>
      </c>
      <c r="N3" s="121" t="s">
        <v>2</v>
      </c>
      <c r="O3" s="121" t="s">
        <v>60</v>
      </c>
      <c r="P3" s="121" t="s">
        <v>59</v>
      </c>
      <c r="Q3" s="121" t="s">
        <v>58</v>
      </c>
      <c r="R3" s="121" t="s">
        <v>57</v>
      </c>
      <c r="S3" s="121" t="s">
        <v>56</v>
      </c>
      <c r="T3" s="121" t="s">
        <v>55</v>
      </c>
      <c r="U3" s="121" t="s">
        <v>54</v>
      </c>
      <c r="V3" s="121" t="s">
        <v>53</v>
      </c>
      <c r="W3" s="121" t="s">
        <v>52</v>
      </c>
      <c r="X3" s="121" t="s">
        <v>51</v>
      </c>
      <c r="Y3" s="121" t="s">
        <v>50</v>
      </c>
      <c r="Z3" s="121" t="s">
        <v>49</v>
      </c>
      <c r="AA3" s="122" t="s">
        <v>2</v>
      </c>
    </row>
    <row r="4" spans="1:27">
      <c r="A4" s="121">
        <v>1</v>
      </c>
      <c r="B4" s="123">
        <v>7.7999999999999999E-4</v>
      </c>
      <c r="C4" s="123">
        <v>6.4000000000000005E-4</v>
      </c>
      <c r="D4" s="123">
        <v>7.6999999999999996E-4</v>
      </c>
      <c r="E4" s="123">
        <v>1.1000000000000001E-3</v>
      </c>
      <c r="F4" s="123">
        <v>1.2600000000000001E-3</v>
      </c>
      <c r="G4" s="123">
        <v>1.4499999999999999E-3</v>
      </c>
      <c r="H4" s="123">
        <v>9.8999999999999999E-4</v>
      </c>
      <c r="I4" s="123">
        <v>9.5E-4</v>
      </c>
      <c r="J4" s="123">
        <v>5.8E-4</v>
      </c>
      <c r="K4" s="123">
        <v>5.4000000000000001E-4</v>
      </c>
      <c r="L4" s="122">
        <v>3.3E-4</v>
      </c>
      <c r="M4" s="123">
        <v>5.9000000000000003E-4</v>
      </c>
      <c r="N4" s="123">
        <v>8.3000000000000001E-4</v>
      </c>
      <c r="O4" s="123">
        <v>8.7000000000000001E-4</v>
      </c>
      <c r="P4" s="123">
        <v>8.9999999999999998E-4</v>
      </c>
      <c r="Q4" s="123">
        <v>9.3000000000000005E-4</v>
      </c>
      <c r="R4" s="123">
        <v>8.9999999999999998E-4</v>
      </c>
      <c r="S4" s="123">
        <v>8.0999999999999996E-4</v>
      </c>
      <c r="T4" s="123">
        <v>7.6000000000000004E-4</v>
      </c>
      <c r="U4" s="123">
        <v>7.1000000000000002E-4</v>
      </c>
      <c r="V4" s="123">
        <v>6.8999999999999997E-4</v>
      </c>
      <c r="W4" s="123">
        <v>6.8999999999999997E-4</v>
      </c>
      <c r="X4" s="123">
        <v>6.9999999999999999E-4</v>
      </c>
      <c r="Y4" s="123">
        <v>6.8999999999999997E-4</v>
      </c>
      <c r="Z4" s="123">
        <v>6.6E-4</v>
      </c>
      <c r="AA4" s="122">
        <v>7.6999999999999996E-4</v>
      </c>
    </row>
    <row r="5" spans="1:27">
      <c r="A5" s="121">
        <v>2</v>
      </c>
      <c r="B5" s="123">
        <v>2.3E-3</v>
      </c>
      <c r="C5" s="123">
        <v>2.82E-3</v>
      </c>
      <c r="D5" s="123">
        <v>2.5300000000000001E-3</v>
      </c>
      <c r="E5" s="123">
        <v>2.7499999999999998E-3</v>
      </c>
      <c r="F5" s="123">
        <v>3.2699999999999999E-3</v>
      </c>
      <c r="G5" s="123">
        <v>3.16E-3</v>
      </c>
      <c r="H5" s="123">
        <v>2.3999999999999998E-3</v>
      </c>
      <c r="I5" s="123">
        <v>2.1900000000000001E-3</v>
      </c>
      <c r="J5" s="123">
        <v>1.6199999999999999E-3</v>
      </c>
      <c r="K5" s="123">
        <v>1.5399999999999999E-3</v>
      </c>
      <c r="L5" s="122">
        <v>1.5399999999999999E-3</v>
      </c>
      <c r="M5" s="123">
        <v>1.6299999999999999E-3</v>
      </c>
      <c r="N5" s="123">
        <v>2.31E-3</v>
      </c>
      <c r="O5" s="123">
        <v>1.82E-3</v>
      </c>
      <c r="P5" s="123">
        <v>1.81E-3</v>
      </c>
      <c r="Q5" s="123">
        <v>1.7899999999999999E-3</v>
      </c>
      <c r="R5" s="123">
        <v>1.7099999999999999E-3</v>
      </c>
      <c r="S5" s="123">
        <v>1.58E-3</v>
      </c>
      <c r="T5" s="123">
        <v>1.5299999999999999E-3</v>
      </c>
      <c r="U5" s="123">
        <v>1.47E-3</v>
      </c>
      <c r="V5" s="123">
        <v>1.4499999999999999E-3</v>
      </c>
      <c r="W5" s="123">
        <v>1.41E-3</v>
      </c>
      <c r="X5" s="123">
        <v>1.42E-3</v>
      </c>
      <c r="Y5" s="123">
        <v>1.4300000000000001E-3</v>
      </c>
      <c r="Z5" s="123">
        <v>1.39E-3</v>
      </c>
      <c r="AA5" s="122">
        <v>1.56E-3</v>
      </c>
    </row>
    <row r="6" spans="1:27">
      <c r="A6" s="121">
        <v>3</v>
      </c>
      <c r="B6" s="123">
        <v>3.7699999999999999E-3</v>
      </c>
      <c r="C6" s="123">
        <v>4.45E-3</v>
      </c>
      <c r="D6" s="123">
        <v>4.28E-3</v>
      </c>
      <c r="E6" s="123">
        <v>4.4799999999999996E-3</v>
      </c>
      <c r="F6" s="123">
        <v>4.5700000000000003E-3</v>
      </c>
      <c r="G6" s="123">
        <v>4.1999999999999997E-3</v>
      </c>
      <c r="H6" s="123">
        <v>3.5599999999999998E-3</v>
      </c>
      <c r="I6" s="123">
        <v>3.4299999999999999E-3</v>
      </c>
      <c r="J6" s="123">
        <v>3.2399999999999998E-3</v>
      </c>
      <c r="K6" s="123">
        <v>3.13E-3</v>
      </c>
      <c r="L6" s="122">
        <v>2.7899999999999999E-3</v>
      </c>
      <c r="M6" s="123">
        <v>3.0999999999999999E-3</v>
      </c>
      <c r="N6" s="123">
        <v>3.7499999999999999E-3</v>
      </c>
      <c r="O6" s="123">
        <v>2.7100000000000002E-3</v>
      </c>
      <c r="P6" s="123">
        <v>2.7399999999999998E-3</v>
      </c>
      <c r="Q6" s="123">
        <v>2.7200000000000002E-3</v>
      </c>
      <c r="R6" s="123">
        <v>2.5999999999999999E-3</v>
      </c>
      <c r="S6" s="123">
        <v>2.3800000000000002E-3</v>
      </c>
      <c r="T6" s="123">
        <v>2.33E-3</v>
      </c>
      <c r="U6" s="123">
        <v>2.2799999999999999E-3</v>
      </c>
      <c r="V6" s="123">
        <v>2.2799999999999999E-3</v>
      </c>
      <c r="W6" s="123">
        <v>2.2499999999999998E-3</v>
      </c>
      <c r="X6" s="123">
        <v>2.2499999999999998E-3</v>
      </c>
      <c r="Y6" s="123">
        <v>2.2499999999999998E-3</v>
      </c>
      <c r="Z6" s="123">
        <v>2.2000000000000001E-3</v>
      </c>
      <c r="AA6" s="122">
        <v>2.4099999999999998E-3</v>
      </c>
    </row>
    <row r="7" spans="1:27">
      <c r="A7" s="121">
        <v>4</v>
      </c>
      <c r="B7" s="123">
        <v>5.3800000000000002E-3</v>
      </c>
      <c r="C7" s="123">
        <v>5.6899999999999997E-3</v>
      </c>
      <c r="D7" s="123">
        <v>5.3899999999999998E-3</v>
      </c>
      <c r="E7" s="123">
        <v>5.4900000000000001E-3</v>
      </c>
      <c r="F7" s="123">
        <v>5.79E-3</v>
      </c>
      <c r="G7" s="123">
        <v>5.6100000000000004E-3</v>
      </c>
      <c r="H7" s="123">
        <v>4.9699999999999996E-3</v>
      </c>
      <c r="I7" s="123">
        <v>5.0400000000000002E-3</v>
      </c>
      <c r="J7" s="123">
        <v>4.7800000000000004E-3</v>
      </c>
      <c r="K7" s="123">
        <v>4.5100000000000001E-3</v>
      </c>
      <c r="L7" s="122">
        <v>4.13E-3</v>
      </c>
      <c r="M7" s="123">
        <v>4.3899999999999998E-3</v>
      </c>
      <c r="N7" s="123">
        <v>5.0899999999999999E-3</v>
      </c>
      <c r="O7" s="123">
        <v>3.64E-3</v>
      </c>
      <c r="P7" s="123">
        <v>3.6900000000000001E-3</v>
      </c>
      <c r="Q7" s="123">
        <v>3.7000000000000002E-3</v>
      </c>
      <c r="R7" s="123">
        <v>3.5599999999999998E-3</v>
      </c>
      <c r="S7" s="123">
        <v>3.31E-3</v>
      </c>
      <c r="T7" s="123">
        <v>3.2399999999999998E-3</v>
      </c>
      <c r="U7" s="123">
        <v>3.1900000000000001E-3</v>
      </c>
      <c r="V7" s="123">
        <v>3.1900000000000001E-3</v>
      </c>
      <c r="W7" s="123">
        <v>3.15E-3</v>
      </c>
      <c r="X7" s="123">
        <v>3.0799999999999998E-3</v>
      </c>
      <c r="Y7" s="123">
        <v>3.0599999999999998E-3</v>
      </c>
      <c r="Z7" s="123">
        <v>3.0100000000000001E-3</v>
      </c>
      <c r="AA7" s="122">
        <v>3.31E-3</v>
      </c>
    </row>
    <row r="8" spans="1:27">
      <c r="A8" s="121">
        <v>5</v>
      </c>
      <c r="B8" s="123">
        <v>6.5300000000000002E-3</v>
      </c>
      <c r="C8" s="123">
        <v>6.9699999999999996E-3</v>
      </c>
      <c r="D8" s="123">
        <v>6.8500000000000002E-3</v>
      </c>
      <c r="E8" s="123">
        <v>7.1799999999999998E-3</v>
      </c>
      <c r="F8" s="123">
        <v>7.4200000000000004E-3</v>
      </c>
      <c r="G8" s="123">
        <v>7.3099999999999997E-3</v>
      </c>
      <c r="H8" s="123">
        <v>6.6299999999999996E-3</v>
      </c>
      <c r="I8" s="123">
        <v>6.6499999999999997E-3</v>
      </c>
      <c r="J8" s="123">
        <v>6.1999999999999998E-3</v>
      </c>
      <c r="K8" s="123">
        <v>5.9300000000000004E-3</v>
      </c>
      <c r="L8" s="122">
        <v>5.5399999999999998E-3</v>
      </c>
      <c r="M8" s="123">
        <v>6.11E-3</v>
      </c>
      <c r="N8" s="123">
        <v>6.6100000000000004E-3</v>
      </c>
      <c r="O8" s="123">
        <v>4.7099999999999998E-3</v>
      </c>
      <c r="P8" s="123">
        <v>4.7600000000000003E-3</v>
      </c>
      <c r="Q8" s="123">
        <v>4.7800000000000004E-3</v>
      </c>
      <c r="R8" s="123">
        <v>4.6100000000000004E-3</v>
      </c>
      <c r="S8" s="123">
        <v>4.3E-3</v>
      </c>
      <c r="T8" s="123">
        <v>4.15E-3</v>
      </c>
      <c r="U8" s="123">
        <v>4.0699999999999998E-3</v>
      </c>
      <c r="V8" s="123">
        <v>4.1099999999999999E-3</v>
      </c>
      <c r="W8" s="123">
        <v>4.13E-3</v>
      </c>
      <c r="X8" s="123">
        <v>4.1099999999999999E-3</v>
      </c>
      <c r="Y8" s="123">
        <v>4.0600000000000002E-3</v>
      </c>
      <c r="Z8" s="123">
        <v>4.0000000000000001E-3</v>
      </c>
      <c r="AA8" s="122">
        <v>4.3099999999999996E-3</v>
      </c>
    </row>
    <row r="9" spans="1:27">
      <c r="A9" s="121">
        <v>6</v>
      </c>
      <c r="B9" s="123">
        <v>7.5500000000000003E-3</v>
      </c>
      <c r="C9" s="123">
        <v>8.2100000000000003E-3</v>
      </c>
      <c r="D9" s="123">
        <v>8.26E-3</v>
      </c>
      <c r="E9" s="123">
        <v>8.6199999999999992E-3</v>
      </c>
      <c r="F9" s="123">
        <v>8.8100000000000001E-3</v>
      </c>
      <c r="G9" s="123">
        <v>8.6800000000000002E-3</v>
      </c>
      <c r="H9" s="123">
        <v>8.0400000000000003E-3</v>
      </c>
      <c r="I9" s="123">
        <v>8.2199999999999999E-3</v>
      </c>
      <c r="J9" s="123">
        <v>7.6099999999999996E-3</v>
      </c>
      <c r="K9" s="123">
        <v>7.2199999999999999E-3</v>
      </c>
      <c r="L9" s="122">
        <v>6.8300000000000001E-3</v>
      </c>
      <c r="M9" s="123">
        <v>7.2399999999999999E-3</v>
      </c>
      <c r="N9" s="123">
        <v>7.9399999999999991E-3</v>
      </c>
      <c r="O9" s="123">
        <v>5.8300000000000001E-3</v>
      </c>
      <c r="P9" s="123">
        <v>5.8300000000000001E-3</v>
      </c>
      <c r="Q9" s="123">
        <v>5.8300000000000001E-3</v>
      </c>
      <c r="R9" s="123">
        <v>5.6699999999999997E-3</v>
      </c>
      <c r="S9" s="123">
        <v>5.3699999999999998E-3</v>
      </c>
      <c r="T9" s="123">
        <v>5.2599999999999999E-3</v>
      </c>
      <c r="U9" s="123">
        <v>5.1500000000000001E-3</v>
      </c>
      <c r="V9" s="123">
        <v>5.2199999999999998E-3</v>
      </c>
      <c r="W9" s="123">
        <v>5.2199999999999998E-3</v>
      </c>
      <c r="X9" s="123">
        <v>5.1999999999999998E-3</v>
      </c>
      <c r="Y9" s="123">
        <v>5.2199999999999998E-3</v>
      </c>
      <c r="Z9" s="123">
        <v>5.13E-3</v>
      </c>
      <c r="AA9" s="122">
        <v>5.4000000000000003E-3</v>
      </c>
    </row>
    <row r="11" spans="1:27">
      <c r="A11" s="125" t="s">
        <v>127</v>
      </c>
      <c r="B11" s="160" t="s">
        <v>124</v>
      </c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2"/>
      <c r="O11" s="160" t="s">
        <v>125</v>
      </c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2"/>
    </row>
    <row r="12" spans="1:27">
      <c r="A12" s="127" t="s">
        <v>132</v>
      </c>
      <c r="B12" s="126">
        <v>15863</v>
      </c>
      <c r="C12" s="126">
        <v>14350</v>
      </c>
      <c r="D12" s="126">
        <v>14730</v>
      </c>
      <c r="E12" s="126">
        <v>15453</v>
      </c>
      <c r="F12" s="126">
        <v>15825</v>
      </c>
      <c r="G12" s="126">
        <v>16069</v>
      </c>
      <c r="H12" s="126">
        <v>16050</v>
      </c>
      <c r="I12" s="126">
        <v>15402</v>
      </c>
      <c r="J12" s="126">
        <v>15018</v>
      </c>
      <c r="K12" s="126">
        <v>14432</v>
      </c>
      <c r="L12" s="126">
        <v>13970</v>
      </c>
      <c r="M12" s="126">
        <v>13329</v>
      </c>
      <c r="N12" s="126">
        <v>180491</v>
      </c>
      <c r="O12" s="126">
        <v>15863</v>
      </c>
      <c r="P12" s="126">
        <v>14350</v>
      </c>
      <c r="Q12" s="126">
        <v>14730</v>
      </c>
      <c r="R12" s="126">
        <v>15453</v>
      </c>
      <c r="S12" s="126">
        <v>15825</v>
      </c>
      <c r="T12" s="126">
        <v>16069</v>
      </c>
      <c r="U12" s="126">
        <v>16050</v>
      </c>
      <c r="V12" s="126">
        <v>15402</v>
      </c>
      <c r="W12" s="126">
        <v>15018</v>
      </c>
      <c r="X12" s="126">
        <v>14432</v>
      </c>
      <c r="Y12" s="126">
        <v>13970</v>
      </c>
      <c r="Z12" s="126">
        <v>13329</v>
      </c>
      <c r="AA12" s="126">
        <v>180491</v>
      </c>
    </row>
    <row r="13" spans="1:27">
      <c r="A13" s="121" t="s">
        <v>123</v>
      </c>
      <c r="B13" s="121" t="s">
        <v>60</v>
      </c>
      <c r="C13" s="121" t="s">
        <v>59</v>
      </c>
      <c r="D13" s="121" t="s">
        <v>58</v>
      </c>
      <c r="E13" s="121" t="s">
        <v>57</v>
      </c>
      <c r="F13" s="121" t="s">
        <v>56</v>
      </c>
      <c r="G13" s="121" t="s">
        <v>55</v>
      </c>
      <c r="H13" s="121" t="s">
        <v>54</v>
      </c>
      <c r="I13" s="121" t="s">
        <v>53</v>
      </c>
      <c r="J13" s="121" t="s">
        <v>52</v>
      </c>
      <c r="K13" s="121" t="s">
        <v>51</v>
      </c>
      <c r="L13" s="122" t="s">
        <v>50</v>
      </c>
      <c r="M13" s="121" t="s">
        <v>49</v>
      </c>
      <c r="N13" s="121" t="s">
        <v>2</v>
      </c>
      <c r="O13" s="121" t="s">
        <v>60</v>
      </c>
      <c r="P13" s="121" t="s">
        <v>59</v>
      </c>
      <c r="Q13" s="121" t="s">
        <v>58</v>
      </c>
      <c r="R13" s="121" t="s">
        <v>57</v>
      </c>
      <c r="S13" s="121" t="s">
        <v>56</v>
      </c>
      <c r="T13" s="121" t="s">
        <v>55</v>
      </c>
      <c r="U13" s="121" t="s">
        <v>54</v>
      </c>
      <c r="V13" s="121" t="s">
        <v>53</v>
      </c>
      <c r="W13" s="121" t="s">
        <v>52</v>
      </c>
      <c r="X13" s="121" t="s">
        <v>51</v>
      </c>
      <c r="Y13" s="121" t="s">
        <v>50</v>
      </c>
      <c r="Z13" s="121" t="s">
        <v>49</v>
      </c>
      <c r="AA13" s="122" t="s">
        <v>2</v>
      </c>
    </row>
    <row r="14" spans="1:27">
      <c r="A14" s="121">
        <v>1</v>
      </c>
      <c r="B14" s="123">
        <v>4.5999999999999999E-3</v>
      </c>
      <c r="C14" s="123">
        <v>4.6699999999999997E-3</v>
      </c>
      <c r="D14" s="123">
        <v>5.6299999999999996E-3</v>
      </c>
      <c r="E14" s="123">
        <v>5.4400000000000004E-3</v>
      </c>
      <c r="F14" s="123">
        <v>5.1200000000000004E-3</v>
      </c>
      <c r="G14" s="123">
        <v>5.3499999999999997E-3</v>
      </c>
      <c r="H14" s="123">
        <v>5.2300000000000003E-3</v>
      </c>
      <c r="I14" s="123">
        <v>3.96E-3</v>
      </c>
      <c r="J14" s="123">
        <v>3.5300000000000002E-3</v>
      </c>
      <c r="K14" s="123">
        <v>4.0200000000000001E-3</v>
      </c>
      <c r="L14" s="122">
        <v>3.15E-3</v>
      </c>
      <c r="M14" s="123">
        <v>2.48E-3</v>
      </c>
      <c r="N14" s="123">
        <v>4.47E-3</v>
      </c>
      <c r="O14" s="123">
        <v>4.7000000000000002E-3</v>
      </c>
      <c r="P14" s="123">
        <v>5.0899999999999999E-3</v>
      </c>
      <c r="Q14" s="123">
        <v>5.1799999999999997E-3</v>
      </c>
      <c r="R14" s="123">
        <v>5.0000000000000001E-3</v>
      </c>
      <c r="S14" s="123">
        <v>4.45E-3</v>
      </c>
      <c r="T14" s="123">
        <v>4.1200000000000004E-3</v>
      </c>
      <c r="U14" s="123">
        <v>3.8600000000000001E-3</v>
      </c>
      <c r="V14" s="123">
        <v>3.7499999999999999E-3</v>
      </c>
      <c r="W14" s="123">
        <v>3.7499999999999999E-3</v>
      </c>
      <c r="X14" s="123">
        <v>3.8500000000000001E-3</v>
      </c>
      <c r="Y14" s="123">
        <v>3.82E-3</v>
      </c>
      <c r="Z14" s="123">
        <v>3.6900000000000001E-3</v>
      </c>
      <c r="AA14" s="122">
        <v>4.28E-3</v>
      </c>
    </row>
    <row r="15" spans="1:27">
      <c r="A15" s="121">
        <v>2</v>
      </c>
      <c r="B15" s="123">
        <v>1.2800000000000001E-2</v>
      </c>
      <c r="C15" s="123">
        <v>1.289E-2</v>
      </c>
      <c r="D15" s="123">
        <v>1.4659999999999999E-2</v>
      </c>
      <c r="E15" s="123">
        <v>1.3140000000000001E-2</v>
      </c>
      <c r="F15" s="123">
        <v>1.213E-2</v>
      </c>
      <c r="G15" s="123">
        <v>1.133E-2</v>
      </c>
      <c r="H15" s="123">
        <v>1.159E-2</v>
      </c>
      <c r="I15" s="123">
        <v>0.01</v>
      </c>
      <c r="J15" s="123">
        <v>1.0449999999999999E-2</v>
      </c>
      <c r="K15" s="123">
        <v>1.025E-2</v>
      </c>
      <c r="L15" s="122">
        <v>8.8800000000000007E-3</v>
      </c>
      <c r="M15" s="123">
        <v>8.4799999999999997E-3</v>
      </c>
      <c r="N15" s="123">
        <v>1.1429999999999999E-2</v>
      </c>
      <c r="O15" s="123">
        <v>9.8200000000000006E-3</v>
      </c>
      <c r="P15" s="123">
        <v>1.018E-2</v>
      </c>
      <c r="Q15" s="123">
        <v>9.9699999999999997E-3</v>
      </c>
      <c r="R15" s="123">
        <v>9.4199999999999996E-3</v>
      </c>
      <c r="S15" s="123">
        <v>8.6400000000000001E-3</v>
      </c>
      <c r="T15" s="123">
        <v>8.3400000000000002E-3</v>
      </c>
      <c r="U15" s="123">
        <v>8.0199999999999994E-3</v>
      </c>
      <c r="V15" s="123">
        <v>7.8799999999999999E-3</v>
      </c>
      <c r="W15" s="123">
        <v>7.7000000000000002E-3</v>
      </c>
      <c r="X15" s="123">
        <v>7.79E-3</v>
      </c>
      <c r="Y15" s="123">
        <v>7.8499999999999993E-3</v>
      </c>
      <c r="Z15" s="123">
        <v>7.7099999999999998E-3</v>
      </c>
      <c r="AA15" s="122">
        <v>8.6199999999999992E-3</v>
      </c>
    </row>
    <row r="16" spans="1:27">
      <c r="A16" s="121">
        <v>3</v>
      </c>
      <c r="B16" s="123">
        <v>2.017E-2</v>
      </c>
      <c r="C16" s="123">
        <v>2.0070000000000001E-2</v>
      </c>
      <c r="D16" s="123">
        <v>2.1520000000000001E-2</v>
      </c>
      <c r="E16" s="123">
        <v>1.9539999999999998E-2</v>
      </c>
      <c r="F16" s="123">
        <v>1.9019999999999999E-2</v>
      </c>
      <c r="G16" s="123">
        <v>1.7489999999999999E-2</v>
      </c>
      <c r="H16" s="123">
        <v>1.8259999999999998E-2</v>
      </c>
      <c r="I16" s="123">
        <v>1.636E-2</v>
      </c>
      <c r="J16" s="123">
        <v>1.558E-2</v>
      </c>
      <c r="K16" s="123">
        <v>1.538E-2</v>
      </c>
      <c r="L16" s="122">
        <v>1.396E-2</v>
      </c>
      <c r="M16" s="123">
        <v>1.298E-2</v>
      </c>
      <c r="N16" s="123">
        <v>1.7610000000000001E-2</v>
      </c>
      <c r="O16" s="123">
        <v>1.461E-2</v>
      </c>
      <c r="P16" s="123">
        <v>1.5339999999999999E-2</v>
      </c>
      <c r="Q16" s="123">
        <v>1.507E-2</v>
      </c>
      <c r="R16" s="123">
        <v>1.426E-2</v>
      </c>
      <c r="S16" s="123">
        <v>1.303E-2</v>
      </c>
      <c r="T16" s="123">
        <v>1.265E-2</v>
      </c>
      <c r="U16" s="123">
        <v>1.24E-2</v>
      </c>
      <c r="V16" s="123">
        <v>1.2370000000000001E-2</v>
      </c>
      <c r="W16" s="123">
        <v>1.225E-2</v>
      </c>
      <c r="X16" s="123">
        <v>1.2290000000000001E-2</v>
      </c>
      <c r="Y16" s="123">
        <v>1.234E-2</v>
      </c>
      <c r="Z16" s="123">
        <v>1.213E-2</v>
      </c>
      <c r="AA16" s="122">
        <v>1.323E-2</v>
      </c>
    </row>
    <row r="17" spans="1:27">
      <c r="A17" s="121">
        <v>4</v>
      </c>
      <c r="B17" s="123">
        <v>2.6849999999999999E-2</v>
      </c>
      <c r="C17" s="123">
        <v>2.648E-2</v>
      </c>
      <c r="D17" s="123">
        <v>2.7830000000000001E-2</v>
      </c>
      <c r="E17" s="123">
        <v>2.5690000000000001E-2</v>
      </c>
      <c r="F17" s="123">
        <v>2.496E-2</v>
      </c>
      <c r="G17" s="123">
        <v>2.2710000000000001E-2</v>
      </c>
      <c r="H17" s="123">
        <v>2.3300000000000001E-2</v>
      </c>
      <c r="I17" s="123">
        <v>2.1229999999999999E-2</v>
      </c>
      <c r="J17" s="123">
        <v>2.0969999999999999E-2</v>
      </c>
      <c r="K17" s="123">
        <v>2.1270000000000001E-2</v>
      </c>
      <c r="L17" s="122">
        <v>2.0109999999999999E-2</v>
      </c>
      <c r="M17" s="123">
        <v>1.8530000000000001E-2</v>
      </c>
      <c r="N17" s="123">
        <v>2.3400000000000001E-2</v>
      </c>
      <c r="O17" s="123">
        <v>1.959E-2</v>
      </c>
      <c r="P17" s="123">
        <v>2.0549999999999999E-2</v>
      </c>
      <c r="Q17" s="123">
        <v>2.0410000000000001E-2</v>
      </c>
      <c r="R17" s="123">
        <v>1.949E-2</v>
      </c>
      <c r="S17" s="123">
        <v>1.805E-2</v>
      </c>
      <c r="T17" s="123">
        <v>1.753E-2</v>
      </c>
      <c r="U17" s="123">
        <v>1.7250000000000001E-2</v>
      </c>
      <c r="V17" s="123">
        <v>1.7299999999999999E-2</v>
      </c>
      <c r="W17" s="123">
        <v>1.7080000000000001E-2</v>
      </c>
      <c r="X17" s="123">
        <v>1.6809999999999999E-2</v>
      </c>
      <c r="Y17" s="123">
        <v>1.6729999999999998E-2</v>
      </c>
      <c r="Z17" s="123">
        <v>1.6570000000000001E-2</v>
      </c>
      <c r="AA17" s="122">
        <v>1.813E-2</v>
      </c>
    </row>
    <row r="18" spans="1:27">
      <c r="A18" s="121">
        <v>5</v>
      </c>
      <c r="B18" s="123">
        <v>3.1460000000000002E-2</v>
      </c>
      <c r="C18" s="123">
        <v>3.143E-2</v>
      </c>
      <c r="D18" s="123">
        <v>3.2649999999999998E-2</v>
      </c>
      <c r="E18" s="123">
        <v>2.9700000000000001E-2</v>
      </c>
      <c r="F18" s="123">
        <v>2.9950000000000001E-2</v>
      </c>
      <c r="G18" s="123">
        <v>2.8250000000000001E-2</v>
      </c>
      <c r="H18" s="123">
        <v>2.928E-2</v>
      </c>
      <c r="I18" s="123">
        <v>2.6679999999999999E-2</v>
      </c>
      <c r="J18" s="123">
        <v>2.5770000000000001E-2</v>
      </c>
      <c r="K18" s="123">
        <v>2.6610000000000002E-2</v>
      </c>
      <c r="L18" s="122">
        <v>2.52E-2</v>
      </c>
      <c r="M18" s="123">
        <v>2.3560000000000001E-2</v>
      </c>
      <c r="N18" s="123">
        <v>2.8459999999999999E-2</v>
      </c>
      <c r="O18" s="123">
        <v>2.5260000000000001E-2</v>
      </c>
      <c r="P18" s="123">
        <v>2.6419999999999999E-2</v>
      </c>
      <c r="Q18" s="123">
        <v>2.6270000000000002E-2</v>
      </c>
      <c r="R18" s="123">
        <v>2.5180000000000001E-2</v>
      </c>
      <c r="S18" s="123">
        <v>2.3369999999999998E-2</v>
      </c>
      <c r="T18" s="123">
        <v>2.2419999999999999E-2</v>
      </c>
      <c r="U18" s="123">
        <v>2.197E-2</v>
      </c>
      <c r="V18" s="123">
        <v>2.222E-2</v>
      </c>
      <c r="W18" s="123">
        <v>2.232E-2</v>
      </c>
      <c r="X18" s="123">
        <v>2.232E-2</v>
      </c>
      <c r="Y18" s="123">
        <v>2.2100000000000002E-2</v>
      </c>
      <c r="Z18" s="123">
        <v>2.1909999999999999E-2</v>
      </c>
      <c r="AA18" s="122">
        <v>2.349E-2</v>
      </c>
    </row>
    <row r="19" spans="1:27">
      <c r="A19" s="121">
        <v>6</v>
      </c>
      <c r="B19" s="123">
        <v>3.5619999999999999E-2</v>
      </c>
      <c r="C19" s="123">
        <v>3.6240000000000001E-2</v>
      </c>
      <c r="D19" s="123">
        <v>3.7539999999999997E-2</v>
      </c>
      <c r="E19" s="123">
        <v>3.456E-2</v>
      </c>
      <c r="F19" s="123">
        <v>3.431E-2</v>
      </c>
      <c r="G19" s="123">
        <v>3.2800000000000003E-2</v>
      </c>
      <c r="H19" s="123">
        <v>3.3079999999999998E-2</v>
      </c>
      <c r="I19" s="123">
        <v>3.0450000000000001E-2</v>
      </c>
      <c r="J19" s="123">
        <v>2.9229999999999999E-2</v>
      </c>
      <c r="K19" s="123">
        <v>2.9860000000000001E-2</v>
      </c>
      <c r="L19" s="122">
        <v>2.9489999999999999E-2</v>
      </c>
      <c r="M19" s="123">
        <v>2.828E-2</v>
      </c>
      <c r="N19" s="123">
        <v>3.2689999999999997E-2</v>
      </c>
      <c r="O19" s="123">
        <v>3.1210000000000002E-2</v>
      </c>
      <c r="P19" s="123">
        <v>3.2239999999999998E-2</v>
      </c>
      <c r="Q19" s="123">
        <v>3.193E-2</v>
      </c>
      <c r="R19" s="123">
        <v>3.0839999999999999E-2</v>
      </c>
      <c r="S19" s="123">
        <v>2.9090000000000001E-2</v>
      </c>
      <c r="T19" s="123">
        <v>2.836E-2</v>
      </c>
      <c r="U19" s="123">
        <v>2.7740000000000001E-2</v>
      </c>
      <c r="V19" s="123">
        <v>2.8139999999999998E-2</v>
      </c>
      <c r="W19" s="123">
        <v>2.8129999999999999E-2</v>
      </c>
      <c r="X19" s="123">
        <v>2.819E-2</v>
      </c>
      <c r="Y19" s="123">
        <v>2.8299999999999999E-2</v>
      </c>
      <c r="Z19" s="123">
        <v>2.7980000000000001E-2</v>
      </c>
      <c r="AA19" s="122">
        <v>2.9350000000000001E-2</v>
      </c>
    </row>
    <row r="21" spans="1:27">
      <c r="A21" s="125" t="s">
        <v>128</v>
      </c>
      <c r="B21" s="160" t="s">
        <v>124</v>
      </c>
      <c r="C21" s="161"/>
      <c r="D21" s="161"/>
      <c r="E21" s="161"/>
      <c r="F21" s="161"/>
      <c r="G21" s="161"/>
      <c r="H21" s="161"/>
      <c r="I21" s="161"/>
      <c r="J21" s="161"/>
      <c r="K21" s="161"/>
      <c r="L21" s="161"/>
      <c r="M21" s="161"/>
      <c r="N21" s="162"/>
      <c r="O21" s="160" t="s">
        <v>125</v>
      </c>
      <c r="P21" s="161"/>
      <c r="Q21" s="161"/>
      <c r="R21" s="161"/>
      <c r="S21" s="161"/>
      <c r="T21" s="161"/>
      <c r="U21" s="161"/>
      <c r="V21" s="161"/>
      <c r="W21" s="161"/>
      <c r="X21" s="161"/>
      <c r="Y21" s="161"/>
      <c r="Z21" s="161"/>
      <c r="AA21" s="162"/>
    </row>
    <row r="22" spans="1:27">
      <c r="A22" s="127" t="s">
        <v>132</v>
      </c>
      <c r="B22" s="126">
        <v>1767</v>
      </c>
      <c r="C22" s="126">
        <v>1825</v>
      </c>
      <c r="D22" s="126">
        <v>1554</v>
      </c>
      <c r="E22" s="126">
        <v>1463</v>
      </c>
      <c r="F22" s="126">
        <v>1487</v>
      </c>
      <c r="G22" s="126">
        <v>1495</v>
      </c>
      <c r="H22" s="126">
        <v>1301</v>
      </c>
      <c r="I22" s="126">
        <v>1423</v>
      </c>
      <c r="J22" s="126">
        <v>1487</v>
      </c>
      <c r="K22" s="126">
        <v>1451</v>
      </c>
      <c r="L22" s="126">
        <v>1416</v>
      </c>
      <c r="M22" s="126">
        <v>1480</v>
      </c>
      <c r="N22" s="126">
        <v>18149</v>
      </c>
      <c r="O22" s="126">
        <v>1767</v>
      </c>
      <c r="P22" s="126">
        <v>1825</v>
      </c>
      <c r="Q22" s="126">
        <v>1554</v>
      </c>
      <c r="R22" s="126">
        <v>1463</v>
      </c>
      <c r="S22" s="126">
        <v>1487</v>
      </c>
      <c r="T22" s="126">
        <v>1495</v>
      </c>
      <c r="U22" s="126">
        <v>1301</v>
      </c>
      <c r="V22" s="126">
        <v>1423</v>
      </c>
      <c r="W22" s="126">
        <v>1487</v>
      </c>
      <c r="X22" s="126">
        <v>1451</v>
      </c>
      <c r="Y22" s="126">
        <v>1416</v>
      </c>
      <c r="Z22" s="126">
        <v>1480</v>
      </c>
      <c r="AA22" s="126">
        <v>18149</v>
      </c>
    </row>
    <row r="23" spans="1:27">
      <c r="A23" s="121" t="s">
        <v>123</v>
      </c>
      <c r="B23" s="121" t="s">
        <v>60</v>
      </c>
      <c r="C23" s="121" t="s">
        <v>59</v>
      </c>
      <c r="D23" s="121" t="s">
        <v>58</v>
      </c>
      <c r="E23" s="121" t="s">
        <v>57</v>
      </c>
      <c r="F23" s="121" t="s">
        <v>56</v>
      </c>
      <c r="G23" s="121" t="s">
        <v>55</v>
      </c>
      <c r="H23" s="121" t="s">
        <v>54</v>
      </c>
      <c r="I23" s="121" t="s">
        <v>53</v>
      </c>
      <c r="J23" s="121" t="s">
        <v>52</v>
      </c>
      <c r="K23" s="121" t="s">
        <v>51</v>
      </c>
      <c r="L23" s="122" t="s">
        <v>50</v>
      </c>
      <c r="M23" s="121" t="s">
        <v>49</v>
      </c>
      <c r="N23" s="121" t="s">
        <v>2</v>
      </c>
      <c r="O23" s="121" t="s">
        <v>60</v>
      </c>
      <c r="P23" s="121" t="s">
        <v>59</v>
      </c>
      <c r="Q23" s="121" t="s">
        <v>58</v>
      </c>
      <c r="R23" s="121" t="s">
        <v>57</v>
      </c>
      <c r="S23" s="121" t="s">
        <v>56</v>
      </c>
      <c r="T23" s="121" t="s">
        <v>55</v>
      </c>
      <c r="U23" s="121" t="s">
        <v>54</v>
      </c>
      <c r="V23" s="121" t="s">
        <v>53</v>
      </c>
      <c r="W23" s="121" t="s">
        <v>52</v>
      </c>
      <c r="X23" s="121" t="s">
        <v>51</v>
      </c>
      <c r="Y23" s="121" t="s">
        <v>50</v>
      </c>
      <c r="Z23" s="121" t="s">
        <v>49</v>
      </c>
      <c r="AA23" s="122" t="s">
        <v>2</v>
      </c>
    </row>
    <row r="24" spans="1:27">
      <c r="A24" s="121">
        <v>1</v>
      </c>
      <c r="B24" s="123">
        <v>5.6600000000000001E-3</v>
      </c>
      <c r="C24" s="123">
        <v>5.4799999999999996E-3</v>
      </c>
      <c r="D24" s="123">
        <v>3.2200000000000002E-3</v>
      </c>
      <c r="E24" s="123">
        <v>3.4199999999999999E-3</v>
      </c>
      <c r="F24" s="123">
        <v>5.3800000000000002E-3</v>
      </c>
      <c r="G24" s="123">
        <v>4.6800000000000001E-3</v>
      </c>
      <c r="H24" s="123">
        <v>3.8400000000000001E-3</v>
      </c>
      <c r="I24" s="123">
        <v>1.41E-3</v>
      </c>
      <c r="J24" s="123">
        <v>6.0499999999999998E-3</v>
      </c>
      <c r="K24" s="123">
        <v>2.0699999999999998E-3</v>
      </c>
      <c r="L24" s="122">
        <v>4.9399999999999999E-3</v>
      </c>
      <c r="M24" s="123">
        <v>2.7000000000000001E-3</v>
      </c>
      <c r="N24" s="123">
        <v>4.13E-3</v>
      </c>
      <c r="O24" s="123">
        <v>4.3600000000000002E-3</v>
      </c>
      <c r="P24" s="123">
        <v>4.5399999999999998E-3</v>
      </c>
      <c r="Q24" s="123">
        <v>4.7000000000000002E-3</v>
      </c>
      <c r="R24" s="123">
        <v>4.4600000000000004E-3</v>
      </c>
      <c r="S24" s="123">
        <v>3.9899999999999996E-3</v>
      </c>
      <c r="T24" s="123">
        <v>3.7799999999999999E-3</v>
      </c>
      <c r="U24" s="123">
        <v>3.5599999999999998E-3</v>
      </c>
      <c r="V24" s="123">
        <v>3.3400000000000001E-3</v>
      </c>
      <c r="W24" s="123">
        <v>3.31E-3</v>
      </c>
      <c r="X24" s="123">
        <v>3.3700000000000002E-3</v>
      </c>
      <c r="Y24" s="123">
        <v>3.3999999999999998E-3</v>
      </c>
      <c r="Z24" s="123">
        <v>3.2000000000000002E-3</v>
      </c>
      <c r="AA24" s="122">
        <v>3.8600000000000001E-3</v>
      </c>
    </row>
    <row r="25" spans="1:27">
      <c r="A25" s="121">
        <v>2</v>
      </c>
      <c r="B25" s="123">
        <v>1.4710000000000001E-2</v>
      </c>
      <c r="C25" s="123">
        <v>1.4789999999999999E-2</v>
      </c>
      <c r="D25" s="123">
        <v>1.158E-2</v>
      </c>
      <c r="E25" s="123">
        <v>1.162E-2</v>
      </c>
      <c r="F25" s="123">
        <v>1.278E-2</v>
      </c>
      <c r="G25" s="123">
        <v>1.0030000000000001E-2</v>
      </c>
      <c r="H25" s="123">
        <v>1.153E-2</v>
      </c>
      <c r="I25" s="123">
        <v>7.0299999999999998E-3</v>
      </c>
      <c r="J25" s="123">
        <v>1.009E-2</v>
      </c>
      <c r="K25" s="123">
        <v>6.8900000000000003E-3</v>
      </c>
      <c r="L25" s="122">
        <v>7.77E-3</v>
      </c>
      <c r="M25" s="123">
        <v>5.4099999999999999E-3</v>
      </c>
      <c r="N25" s="123">
        <v>1.052E-2</v>
      </c>
      <c r="O25" s="123">
        <v>9.0299999999999998E-3</v>
      </c>
      <c r="P25" s="123">
        <v>9.0299999999999998E-3</v>
      </c>
      <c r="Q25" s="123">
        <v>8.9899999999999997E-3</v>
      </c>
      <c r="R25" s="123">
        <v>8.3599999999999994E-3</v>
      </c>
      <c r="S25" s="123">
        <v>7.7099999999999998E-3</v>
      </c>
      <c r="T25" s="123">
        <v>7.5900000000000004E-3</v>
      </c>
      <c r="U25" s="123">
        <v>7.3299999999999997E-3</v>
      </c>
      <c r="V25" s="123">
        <v>6.9899999999999997E-3</v>
      </c>
      <c r="W25" s="123">
        <v>6.7600000000000004E-3</v>
      </c>
      <c r="X25" s="123">
        <v>6.7999999999999996E-3</v>
      </c>
      <c r="Y25" s="123">
        <v>6.9499999999999996E-3</v>
      </c>
      <c r="Z25" s="123">
        <v>6.6499999999999997E-3</v>
      </c>
      <c r="AA25" s="122">
        <v>7.7400000000000004E-3</v>
      </c>
    </row>
    <row r="26" spans="1:27">
      <c r="A26" s="121">
        <v>3</v>
      </c>
      <c r="B26" s="123">
        <v>2.094E-2</v>
      </c>
      <c r="C26" s="123">
        <v>2.027E-2</v>
      </c>
      <c r="D26" s="123">
        <v>1.8020000000000001E-2</v>
      </c>
      <c r="E26" s="123">
        <v>1.7770000000000001E-2</v>
      </c>
      <c r="F26" s="123">
        <v>1.883E-2</v>
      </c>
      <c r="G26" s="123">
        <v>1.204E-2</v>
      </c>
      <c r="H26" s="123">
        <v>1.384E-2</v>
      </c>
      <c r="I26" s="123">
        <v>1.124E-2</v>
      </c>
      <c r="J26" s="123">
        <v>1.345E-2</v>
      </c>
      <c r="K26" s="123">
        <v>8.2699999999999996E-3</v>
      </c>
      <c r="L26" s="122">
        <v>1.059E-2</v>
      </c>
      <c r="M26" s="123">
        <v>1.081E-2</v>
      </c>
      <c r="N26" s="123">
        <v>1.4930000000000001E-2</v>
      </c>
      <c r="O26" s="123">
        <v>1.3339999999999999E-2</v>
      </c>
      <c r="P26" s="123">
        <v>1.3520000000000001E-2</v>
      </c>
      <c r="Q26" s="123">
        <v>1.3509999999999999E-2</v>
      </c>
      <c r="R26" s="123">
        <v>1.259E-2</v>
      </c>
      <c r="S26" s="123">
        <v>1.154E-2</v>
      </c>
      <c r="T26" s="123">
        <v>1.1429999999999999E-2</v>
      </c>
      <c r="U26" s="123">
        <v>1.125E-2</v>
      </c>
      <c r="V26" s="123">
        <v>1.091E-2</v>
      </c>
      <c r="W26" s="123">
        <v>1.0699999999999999E-2</v>
      </c>
      <c r="X26" s="123">
        <v>1.0670000000000001E-2</v>
      </c>
      <c r="Y26" s="123">
        <v>1.0869999999999999E-2</v>
      </c>
      <c r="Z26" s="123">
        <v>1.042E-2</v>
      </c>
      <c r="AA26" s="122">
        <v>1.1809999999999999E-2</v>
      </c>
    </row>
    <row r="27" spans="1:27">
      <c r="A27" s="121">
        <v>4</v>
      </c>
      <c r="B27" s="123">
        <v>2.4340000000000001E-2</v>
      </c>
      <c r="C27" s="123">
        <v>2.3009999999999999E-2</v>
      </c>
      <c r="D27" s="123">
        <v>2.2519999999999998E-2</v>
      </c>
      <c r="E27" s="123">
        <v>2.256E-2</v>
      </c>
      <c r="F27" s="123">
        <v>2.4879999999999999E-2</v>
      </c>
      <c r="G27" s="123">
        <v>1.538E-2</v>
      </c>
      <c r="H27" s="123">
        <v>1.8450000000000001E-2</v>
      </c>
      <c r="I27" s="123">
        <v>1.3350000000000001E-2</v>
      </c>
      <c r="J27" s="123">
        <v>1.8159999999999999E-2</v>
      </c>
      <c r="K27" s="123">
        <v>1.3780000000000001E-2</v>
      </c>
      <c r="L27" s="122">
        <v>1.695E-2</v>
      </c>
      <c r="M27" s="123">
        <v>1.7569999999999999E-2</v>
      </c>
      <c r="N27" s="123">
        <v>1.9449999999999999E-2</v>
      </c>
      <c r="O27" s="123">
        <v>1.7760000000000001E-2</v>
      </c>
      <c r="P27" s="123">
        <v>1.8030000000000001E-2</v>
      </c>
      <c r="Q27" s="123">
        <v>1.8169999999999999E-2</v>
      </c>
      <c r="R27" s="123">
        <v>1.711E-2</v>
      </c>
      <c r="S27" s="123">
        <v>1.5900000000000001E-2</v>
      </c>
      <c r="T27" s="123">
        <v>1.5730000000000001E-2</v>
      </c>
      <c r="U27" s="123">
        <v>1.554E-2</v>
      </c>
      <c r="V27" s="123">
        <v>1.516E-2</v>
      </c>
      <c r="W27" s="123">
        <v>1.485E-2</v>
      </c>
      <c r="X27" s="123">
        <v>1.452E-2</v>
      </c>
      <c r="Y27" s="123">
        <v>1.4659999999999999E-2</v>
      </c>
      <c r="Z27" s="123">
        <v>1.418E-2</v>
      </c>
      <c r="AA27" s="122">
        <v>1.6060000000000001E-2</v>
      </c>
    </row>
    <row r="28" spans="1:27">
      <c r="A28" s="121">
        <v>5</v>
      </c>
      <c r="B28" s="123">
        <v>2.886E-2</v>
      </c>
      <c r="C28" s="123">
        <v>2.7400000000000001E-2</v>
      </c>
      <c r="D28" s="123">
        <v>2.767E-2</v>
      </c>
      <c r="E28" s="123">
        <v>2.597E-2</v>
      </c>
      <c r="F28" s="123">
        <v>2.8920000000000001E-2</v>
      </c>
      <c r="G28" s="123">
        <v>1.9400000000000001E-2</v>
      </c>
      <c r="H28" s="123">
        <v>2.3060000000000001E-2</v>
      </c>
      <c r="I28" s="123">
        <v>1.8270000000000002E-2</v>
      </c>
      <c r="J28" s="123">
        <v>2.2859999999999998E-2</v>
      </c>
      <c r="K28" s="123">
        <v>1.7919999999999998E-2</v>
      </c>
      <c r="L28" s="122">
        <v>2.2599999999999999E-2</v>
      </c>
      <c r="M28" s="123">
        <v>2.4320000000000001E-2</v>
      </c>
      <c r="N28" s="123">
        <v>2.4129999999999999E-2</v>
      </c>
      <c r="O28" s="123">
        <v>2.273E-2</v>
      </c>
      <c r="P28" s="123">
        <v>2.3040000000000001E-2</v>
      </c>
      <c r="Q28" s="123">
        <v>2.325E-2</v>
      </c>
      <c r="R28" s="123">
        <v>2.198E-2</v>
      </c>
      <c r="S28" s="123">
        <v>2.0459999999999999E-2</v>
      </c>
      <c r="T28" s="123">
        <v>1.9990000000000001E-2</v>
      </c>
      <c r="U28" s="123">
        <v>1.967E-2</v>
      </c>
      <c r="V28" s="123">
        <v>1.9380000000000001E-2</v>
      </c>
      <c r="W28" s="123">
        <v>1.9310000000000001E-2</v>
      </c>
      <c r="X28" s="123">
        <v>1.9189999999999999E-2</v>
      </c>
      <c r="Y28" s="123">
        <v>1.9259999999999999E-2</v>
      </c>
      <c r="Z28" s="123">
        <v>1.8669999999999999E-2</v>
      </c>
      <c r="AA28" s="122">
        <v>2.069E-2</v>
      </c>
    </row>
    <row r="29" spans="1:27">
      <c r="A29" s="121">
        <v>6</v>
      </c>
      <c r="B29" s="123">
        <v>3.2820000000000002E-2</v>
      </c>
      <c r="C29" s="123">
        <v>3.0679999999999999E-2</v>
      </c>
      <c r="D29" s="123">
        <v>3.024E-2</v>
      </c>
      <c r="E29" s="123">
        <v>3.2809999999999999E-2</v>
      </c>
      <c r="F29" s="123">
        <v>3.2280000000000003E-2</v>
      </c>
      <c r="G29" s="123">
        <v>2.4080000000000001E-2</v>
      </c>
      <c r="H29" s="123">
        <v>2.69E-2</v>
      </c>
      <c r="I29" s="123">
        <v>2.811E-2</v>
      </c>
      <c r="J29" s="123">
        <v>2.8240000000000001E-2</v>
      </c>
      <c r="K29" s="123">
        <v>2.3429999999999999E-2</v>
      </c>
      <c r="L29" s="122">
        <v>2.613E-2</v>
      </c>
      <c r="M29" s="123">
        <v>2.9729999999999999E-2</v>
      </c>
      <c r="N29" s="123">
        <v>2.8930000000000001E-2</v>
      </c>
      <c r="O29" s="123">
        <v>2.7900000000000001E-2</v>
      </c>
      <c r="P29" s="123">
        <v>2.7980000000000001E-2</v>
      </c>
      <c r="Q29" s="123">
        <v>2.81E-2</v>
      </c>
      <c r="R29" s="123">
        <v>2.6780000000000002E-2</v>
      </c>
      <c r="S29" s="123">
        <v>2.5329999999999998E-2</v>
      </c>
      <c r="T29" s="123">
        <v>2.511E-2</v>
      </c>
      <c r="U29" s="123">
        <v>2.4660000000000001E-2</v>
      </c>
      <c r="V29" s="123">
        <v>2.4400000000000002E-2</v>
      </c>
      <c r="W29" s="123">
        <v>2.4209999999999999E-2</v>
      </c>
      <c r="X29" s="123">
        <v>2.4129999999999999E-2</v>
      </c>
      <c r="Y29" s="123">
        <v>2.452E-2</v>
      </c>
      <c r="Z29" s="123">
        <v>2.3740000000000001E-2</v>
      </c>
      <c r="AA29" s="122">
        <v>2.5680000000000001E-2</v>
      </c>
    </row>
    <row r="31" spans="1:27">
      <c r="A31" s="125" t="s">
        <v>129</v>
      </c>
      <c r="B31" s="160" t="s">
        <v>124</v>
      </c>
      <c r="C31" s="161"/>
      <c r="D31" s="161"/>
      <c r="E31" s="161"/>
      <c r="F31" s="161"/>
      <c r="G31" s="161"/>
      <c r="H31" s="161"/>
      <c r="I31" s="161"/>
      <c r="J31" s="161"/>
      <c r="K31" s="161"/>
      <c r="L31" s="161"/>
      <c r="M31" s="161"/>
      <c r="N31" s="162"/>
      <c r="O31" s="160" t="s">
        <v>125</v>
      </c>
      <c r="P31" s="161"/>
      <c r="Q31" s="161"/>
      <c r="R31" s="161"/>
      <c r="S31" s="161"/>
      <c r="T31" s="161"/>
      <c r="U31" s="161"/>
      <c r="V31" s="161"/>
      <c r="W31" s="161"/>
      <c r="X31" s="161"/>
      <c r="Y31" s="161"/>
      <c r="Z31" s="161"/>
      <c r="AA31" s="162"/>
    </row>
    <row r="32" spans="1:27">
      <c r="A32" s="127" t="s">
        <v>132</v>
      </c>
      <c r="B32" s="126">
        <v>8466</v>
      </c>
      <c r="C32" s="126">
        <v>8211</v>
      </c>
      <c r="D32" s="126">
        <v>8229</v>
      </c>
      <c r="E32" s="126">
        <v>7755</v>
      </c>
      <c r="F32" s="126">
        <v>7349</v>
      </c>
      <c r="G32" s="126">
        <v>7391</v>
      </c>
      <c r="H32" s="126">
        <v>7445</v>
      </c>
      <c r="I32" s="126">
        <v>7034</v>
      </c>
      <c r="J32" s="126">
        <v>6862</v>
      </c>
      <c r="K32" s="126">
        <v>7118</v>
      </c>
      <c r="L32" s="126">
        <v>6801</v>
      </c>
      <c r="M32" s="126">
        <v>6584</v>
      </c>
      <c r="N32" s="126">
        <v>89245</v>
      </c>
      <c r="O32" s="126">
        <v>8466</v>
      </c>
      <c r="P32" s="126">
        <v>8211</v>
      </c>
      <c r="Q32" s="126">
        <v>8229</v>
      </c>
      <c r="R32" s="126">
        <v>7755</v>
      </c>
      <c r="S32" s="126">
        <v>7349</v>
      </c>
      <c r="T32" s="126">
        <v>7391</v>
      </c>
      <c r="U32" s="126">
        <v>7445</v>
      </c>
      <c r="V32" s="126">
        <v>7034</v>
      </c>
      <c r="W32" s="126">
        <v>6862</v>
      </c>
      <c r="X32" s="126">
        <v>7118</v>
      </c>
      <c r="Y32" s="126">
        <v>6801</v>
      </c>
      <c r="Z32" s="126">
        <v>6584</v>
      </c>
      <c r="AA32" s="126">
        <v>89245</v>
      </c>
    </row>
    <row r="33" spans="1:27">
      <c r="A33" s="121" t="s">
        <v>123</v>
      </c>
      <c r="B33" s="121" t="s">
        <v>60</v>
      </c>
      <c r="C33" s="121" t="s">
        <v>59</v>
      </c>
      <c r="D33" s="121" t="s">
        <v>58</v>
      </c>
      <c r="E33" s="121" t="s">
        <v>57</v>
      </c>
      <c r="F33" s="121" t="s">
        <v>56</v>
      </c>
      <c r="G33" s="121" t="s">
        <v>55</v>
      </c>
      <c r="H33" s="121" t="s">
        <v>54</v>
      </c>
      <c r="I33" s="121" t="s">
        <v>53</v>
      </c>
      <c r="J33" s="121" t="s">
        <v>52</v>
      </c>
      <c r="K33" s="121" t="s">
        <v>51</v>
      </c>
      <c r="L33" s="122" t="s">
        <v>50</v>
      </c>
      <c r="M33" s="121" t="s">
        <v>49</v>
      </c>
      <c r="N33" s="121" t="s">
        <v>2</v>
      </c>
      <c r="O33" s="121" t="s">
        <v>60</v>
      </c>
      <c r="P33" s="121" t="s">
        <v>59</v>
      </c>
      <c r="Q33" s="121" t="s">
        <v>58</v>
      </c>
      <c r="R33" s="121" t="s">
        <v>57</v>
      </c>
      <c r="S33" s="121" t="s">
        <v>56</v>
      </c>
      <c r="T33" s="121" t="s">
        <v>55</v>
      </c>
      <c r="U33" s="121" t="s">
        <v>54</v>
      </c>
      <c r="V33" s="121" t="s">
        <v>53</v>
      </c>
      <c r="W33" s="121" t="s">
        <v>52</v>
      </c>
      <c r="X33" s="121" t="s">
        <v>51</v>
      </c>
      <c r="Y33" s="121" t="s">
        <v>50</v>
      </c>
      <c r="Z33" s="121" t="s">
        <v>49</v>
      </c>
      <c r="AA33" s="122" t="s">
        <v>2</v>
      </c>
    </row>
    <row r="34" spans="1:27">
      <c r="A34" s="121">
        <v>1</v>
      </c>
      <c r="B34" s="123">
        <v>2.6339999999999999E-2</v>
      </c>
      <c r="C34" s="123">
        <v>3.057E-2</v>
      </c>
      <c r="D34" s="123">
        <v>3.074E-2</v>
      </c>
      <c r="E34" s="123">
        <v>2.9790000000000001E-2</v>
      </c>
      <c r="F34" s="123">
        <v>2.4490000000000001E-2</v>
      </c>
      <c r="G34" s="123">
        <v>2.368E-2</v>
      </c>
      <c r="H34" s="123">
        <v>2.767E-2</v>
      </c>
      <c r="I34" s="123">
        <v>2.6020000000000001E-2</v>
      </c>
      <c r="J34" s="123">
        <v>1.9380000000000001E-2</v>
      </c>
      <c r="K34" s="123">
        <v>2.0650000000000002E-2</v>
      </c>
      <c r="L34" s="122">
        <v>2.367E-2</v>
      </c>
      <c r="M34" s="123">
        <v>2.2169999999999999E-2</v>
      </c>
      <c r="N34" s="123">
        <v>2.5649999999999999E-2</v>
      </c>
      <c r="O34" s="123">
        <v>2.7709999999999999E-2</v>
      </c>
      <c r="P34" s="123">
        <v>2.9489999999999999E-2</v>
      </c>
      <c r="Q34" s="123">
        <v>3.0099999999999998E-2</v>
      </c>
      <c r="R34" s="123">
        <v>2.9159999999999998E-2</v>
      </c>
      <c r="S34" s="123">
        <v>2.6009999999999998E-2</v>
      </c>
      <c r="T34" s="123">
        <v>2.4490000000000001E-2</v>
      </c>
      <c r="U34" s="123">
        <v>2.283E-2</v>
      </c>
      <c r="V34" s="123">
        <v>2.2190000000000001E-2</v>
      </c>
      <c r="W34" s="123">
        <v>2.2349999999999998E-2</v>
      </c>
      <c r="X34" s="123">
        <v>2.29E-2</v>
      </c>
      <c r="Y34" s="123">
        <v>2.2550000000000001E-2</v>
      </c>
      <c r="Z34" s="123">
        <v>2.1839999999999998E-2</v>
      </c>
      <c r="AA34" s="122">
        <v>2.5350000000000001E-2</v>
      </c>
    </row>
    <row r="35" spans="1:27">
      <c r="A35" s="121">
        <v>2</v>
      </c>
      <c r="B35" s="123">
        <v>5.5989999999999998E-2</v>
      </c>
      <c r="C35" s="123">
        <v>6.1990000000000003E-2</v>
      </c>
      <c r="D35" s="123">
        <v>5.7970000000000001E-2</v>
      </c>
      <c r="E35" s="123">
        <v>5.738E-2</v>
      </c>
      <c r="F35" s="123">
        <v>5.3069999999999999E-2</v>
      </c>
      <c r="G35" s="123">
        <v>5.1279999999999999E-2</v>
      </c>
      <c r="H35" s="123">
        <v>5.4260000000000003E-2</v>
      </c>
      <c r="I35" s="123">
        <v>5.2179999999999997E-2</v>
      </c>
      <c r="J35" s="123">
        <v>4.2549999999999998E-2</v>
      </c>
      <c r="K35" s="123">
        <v>4.58E-2</v>
      </c>
      <c r="L35" s="122">
        <v>4.5879999999999997E-2</v>
      </c>
      <c r="M35" s="123">
        <v>4.4810000000000003E-2</v>
      </c>
      <c r="N35" s="123">
        <v>5.2330000000000002E-2</v>
      </c>
      <c r="O35" s="123">
        <v>5.6860000000000001E-2</v>
      </c>
      <c r="P35" s="123">
        <v>5.806E-2</v>
      </c>
      <c r="Q35" s="123">
        <v>5.7070000000000003E-2</v>
      </c>
      <c r="R35" s="123">
        <v>5.4199999999999998E-2</v>
      </c>
      <c r="S35" s="123">
        <v>4.9779999999999998E-2</v>
      </c>
      <c r="T35" s="123">
        <v>4.8750000000000002E-2</v>
      </c>
      <c r="U35" s="123">
        <v>4.6679999999999999E-2</v>
      </c>
      <c r="V35" s="123">
        <v>4.5960000000000001E-2</v>
      </c>
      <c r="W35" s="123">
        <v>4.5170000000000002E-2</v>
      </c>
      <c r="X35" s="123">
        <v>4.5719999999999997E-2</v>
      </c>
      <c r="Y35" s="123">
        <v>4.5710000000000001E-2</v>
      </c>
      <c r="Z35" s="123">
        <v>4.4970000000000003E-2</v>
      </c>
      <c r="AA35" s="122">
        <v>5.0279999999999998E-2</v>
      </c>
    </row>
    <row r="36" spans="1:27">
      <c r="A36" s="121">
        <v>3</v>
      </c>
      <c r="B36" s="123">
        <v>7.6660000000000006E-2</v>
      </c>
      <c r="C36" s="123">
        <v>8.5129999999999997E-2</v>
      </c>
      <c r="D36" s="123">
        <v>7.9839999999999994E-2</v>
      </c>
      <c r="E36" s="123">
        <v>7.8920000000000004E-2</v>
      </c>
      <c r="F36" s="123">
        <v>7.5249999999999997E-2</v>
      </c>
      <c r="G36" s="123">
        <v>7.4139999999999998E-2</v>
      </c>
      <c r="H36" s="123">
        <v>7.2669999999999998E-2</v>
      </c>
      <c r="I36" s="123">
        <v>6.7960000000000007E-2</v>
      </c>
      <c r="J36" s="123">
        <v>6.062E-2</v>
      </c>
      <c r="K36" s="123">
        <v>6.182E-2</v>
      </c>
      <c r="L36" s="122">
        <v>6.3810000000000006E-2</v>
      </c>
      <c r="M36" s="123">
        <v>6.2579999999999997E-2</v>
      </c>
      <c r="N36" s="123">
        <v>7.2150000000000006E-2</v>
      </c>
      <c r="O36" s="123">
        <v>8.3260000000000001E-2</v>
      </c>
      <c r="P36" s="123">
        <v>8.6069999999999994E-2</v>
      </c>
      <c r="Q36" s="123">
        <v>8.4909999999999999E-2</v>
      </c>
      <c r="R36" s="123">
        <v>8.0759999999999998E-2</v>
      </c>
      <c r="S36" s="123">
        <v>7.3929999999999996E-2</v>
      </c>
      <c r="T36" s="123">
        <v>7.281E-2</v>
      </c>
      <c r="U36" s="123">
        <v>7.1050000000000002E-2</v>
      </c>
      <c r="V36" s="123">
        <v>7.1010000000000004E-2</v>
      </c>
      <c r="W36" s="123">
        <v>7.0669999999999997E-2</v>
      </c>
      <c r="X36" s="123">
        <v>7.0889999999999995E-2</v>
      </c>
      <c r="Y36" s="123">
        <v>7.0690000000000003E-2</v>
      </c>
      <c r="Z36" s="123">
        <v>6.9639999999999994E-2</v>
      </c>
      <c r="AA36" s="122">
        <v>7.5920000000000001E-2</v>
      </c>
    </row>
    <row r="37" spans="1:27">
      <c r="A37" s="121">
        <v>4</v>
      </c>
      <c r="B37" s="123">
        <v>9.2020000000000005E-2</v>
      </c>
      <c r="C37" s="123">
        <v>0.10279000000000001</v>
      </c>
      <c r="D37" s="123">
        <v>9.5390000000000003E-2</v>
      </c>
      <c r="E37" s="123">
        <v>9.2710000000000001E-2</v>
      </c>
      <c r="F37" s="123">
        <v>8.7900000000000006E-2</v>
      </c>
      <c r="G37" s="123">
        <v>8.7400000000000005E-2</v>
      </c>
      <c r="H37" s="123">
        <v>8.7169999999999997E-2</v>
      </c>
      <c r="I37" s="123">
        <v>8.43E-2</v>
      </c>
      <c r="J37" s="123">
        <v>7.5200000000000003E-2</v>
      </c>
      <c r="K37" s="123">
        <v>7.6139999999999999E-2</v>
      </c>
      <c r="L37" s="122">
        <v>7.7049999999999993E-2</v>
      </c>
      <c r="M37" s="123">
        <v>7.9130000000000006E-2</v>
      </c>
      <c r="N37" s="123">
        <v>8.6999999999999994E-2</v>
      </c>
      <c r="O37" s="123">
        <v>0.10982</v>
      </c>
      <c r="P37" s="123">
        <v>0.11353000000000001</v>
      </c>
      <c r="Q37" s="123">
        <v>0.11305</v>
      </c>
      <c r="R37" s="123">
        <v>0.10851</v>
      </c>
      <c r="S37" s="123">
        <v>0.10074</v>
      </c>
      <c r="T37" s="123">
        <v>9.9229999999999999E-2</v>
      </c>
      <c r="U37" s="123">
        <v>9.7220000000000001E-2</v>
      </c>
      <c r="V37" s="123">
        <v>9.758E-2</v>
      </c>
      <c r="W37" s="123">
        <v>9.6909999999999996E-2</v>
      </c>
      <c r="X37" s="123">
        <v>9.5430000000000001E-2</v>
      </c>
      <c r="Y37" s="123">
        <v>9.4399999999999998E-2</v>
      </c>
      <c r="Z37" s="123">
        <v>9.3670000000000003E-2</v>
      </c>
      <c r="AA37" s="122">
        <v>0.1022</v>
      </c>
    </row>
    <row r="38" spans="1:27">
      <c r="A38" s="121">
        <v>5</v>
      </c>
      <c r="B38" s="123">
        <v>0.10406</v>
      </c>
      <c r="C38" s="123">
        <v>0.11337999999999999</v>
      </c>
      <c r="D38" s="123">
        <v>0.10609</v>
      </c>
      <c r="E38" s="123">
        <v>0.10587000000000001</v>
      </c>
      <c r="F38" s="123">
        <v>0.10056</v>
      </c>
      <c r="G38" s="123">
        <v>9.9989999999999996E-2</v>
      </c>
      <c r="H38" s="123">
        <v>9.9659999999999999E-2</v>
      </c>
      <c r="I38" s="123">
        <v>9.6100000000000005E-2</v>
      </c>
      <c r="J38" s="123">
        <v>8.6269999999999999E-2</v>
      </c>
      <c r="K38" s="123">
        <v>8.8370000000000004E-2</v>
      </c>
      <c r="L38" s="122">
        <v>8.7190000000000004E-2</v>
      </c>
      <c r="M38" s="123">
        <v>9.0069999999999997E-2</v>
      </c>
      <c r="N38" s="123">
        <v>9.8710000000000006E-2</v>
      </c>
      <c r="O38" s="123">
        <v>0.13904</v>
      </c>
      <c r="P38" s="123">
        <v>0.14334</v>
      </c>
      <c r="Q38" s="123">
        <v>0.14291000000000001</v>
      </c>
      <c r="R38" s="123">
        <v>0.13768</v>
      </c>
      <c r="S38" s="123">
        <v>0.12819</v>
      </c>
      <c r="T38" s="123">
        <v>0.12485</v>
      </c>
      <c r="U38" s="123">
        <v>0.12195</v>
      </c>
      <c r="V38" s="123">
        <v>0.12334000000000001</v>
      </c>
      <c r="W38" s="123">
        <v>0.12439</v>
      </c>
      <c r="X38" s="123">
        <v>0.12434000000000001</v>
      </c>
      <c r="Y38" s="123">
        <v>0.1225</v>
      </c>
      <c r="Z38" s="123">
        <v>0.12166</v>
      </c>
      <c r="AA38" s="122">
        <v>0.13009999999999999</v>
      </c>
    </row>
    <row r="39" spans="1:27">
      <c r="A39" s="121">
        <v>6</v>
      </c>
      <c r="B39" s="123">
        <v>0.11351</v>
      </c>
      <c r="C39" s="123">
        <v>0.12300999999999999</v>
      </c>
      <c r="D39" s="123">
        <v>0.11738999999999999</v>
      </c>
      <c r="E39" s="123">
        <v>0.11425</v>
      </c>
      <c r="F39" s="123">
        <v>0.11022</v>
      </c>
      <c r="G39" s="123">
        <v>0.11135</v>
      </c>
      <c r="H39" s="123">
        <v>0.11001</v>
      </c>
      <c r="I39" s="123">
        <v>0.10549</v>
      </c>
      <c r="J39" s="123">
        <v>9.6909999999999996E-2</v>
      </c>
      <c r="K39" s="123">
        <v>9.8339999999999997E-2</v>
      </c>
      <c r="L39" s="122">
        <v>9.8220000000000002E-2</v>
      </c>
      <c r="M39" s="123">
        <v>0.10100000000000001</v>
      </c>
      <c r="N39" s="123">
        <v>0.10886</v>
      </c>
      <c r="O39" s="123">
        <v>0.16866999999999999</v>
      </c>
      <c r="P39" s="123">
        <v>0.17194999999999999</v>
      </c>
      <c r="Q39" s="123">
        <v>0.17082</v>
      </c>
      <c r="R39" s="123">
        <v>0.16572000000000001</v>
      </c>
      <c r="S39" s="123">
        <v>0.15678</v>
      </c>
      <c r="T39" s="123">
        <v>0.15487000000000001</v>
      </c>
      <c r="U39" s="123">
        <v>0.15112</v>
      </c>
      <c r="V39" s="123">
        <v>0.15318999999999999</v>
      </c>
      <c r="W39" s="123">
        <v>0.15379000000000001</v>
      </c>
      <c r="X39" s="123">
        <v>0.15403</v>
      </c>
      <c r="Y39" s="123">
        <v>0.15373000000000001</v>
      </c>
      <c r="Z39" s="123">
        <v>0.15232999999999999</v>
      </c>
      <c r="AA39" s="122">
        <v>0.15945000000000001</v>
      </c>
    </row>
    <row r="41" spans="1:27">
      <c r="A41" s="125" t="s">
        <v>130</v>
      </c>
      <c r="B41" s="160" t="s">
        <v>124</v>
      </c>
      <c r="C41" s="161"/>
      <c r="D41" s="161"/>
      <c r="E41" s="161"/>
      <c r="F41" s="161"/>
      <c r="G41" s="161"/>
      <c r="H41" s="161"/>
      <c r="I41" s="161"/>
      <c r="J41" s="161"/>
      <c r="K41" s="161"/>
      <c r="L41" s="161"/>
      <c r="M41" s="161"/>
      <c r="N41" s="162"/>
      <c r="O41" s="160" t="s">
        <v>125</v>
      </c>
      <c r="P41" s="161"/>
      <c r="Q41" s="161"/>
      <c r="R41" s="161"/>
      <c r="S41" s="161"/>
      <c r="T41" s="161"/>
      <c r="U41" s="161"/>
      <c r="V41" s="161"/>
      <c r="W41" s="161"/>
      <c r="X41" s="161"/>
      <c r="Y41" s="161"/>
      <c r="Z41" s="161"/>
      <c r="AA41" s="162"/>
    </row>
    <row r="42" spans="1:27">
      <c r="A42" s="127" t="s">
        <v>132</v>
      </c>
      <c r="B42" s="126">
        <v>1363</v>
      </c>
      <c r="C42" s="126">
        <v>1590</v>
      </c>
      <c r="D42" s="126">
        <v>1627</v>
      </c>
      <c r="E42" s="126">
        <v>1536</v>
      </c>
      <c r="F42" s="126">
        <v>1147</v>
      </c>
      <c r="G42" s="126">
        <v>918</v>
      </c>
      <c r="H42" s="126">
        <v>927</v>
      </c>
      <c r="I42" s="126">
        <v>692</v>
      </c>
      <c r="J42" s="126">
        <v>634</v>
      </c>
      <c r="K42" s="126">
        <v>560</v>
      </c>
      <c r="L42" s="126">
        <v>517</v>
      </c>
      <c r="M42" s="126">
        <v>465</v>
      </c>
      <c r="N42" s="126">
        <v>11976</v>
      </c>
      <c r="O42" s="126">
        <v>1363</v>
      </c>
      <c r="P42" s="126">
        <v>1590</v>
      </c>
      <c r="Q42" s="126">
        <v>1627</v>
      </c>
      <c r="R42" s="126">
        <v>1536</v>
      </c>
      <c r="S42" s="126">
        <v>1147</v>
      </c>
      <c r="T42" s="126">
        <v>918</v>
      </c>
      <c r="U42" s="126">
        <v>927</v>
      </c>
      <c r="V42" s="126">
        <v>692</v>
      </c>
      <c r="W42" s="126">
        <v>634</v>
      </c>
      <c r="X42" s="126">
        <v>560</v>
      </c>
      <c r="Y42" s="126">
        <v>517</v>
      </c>
      <c r="Z42" s="126">
        <v>465</v>
      </c>
      <c r="AA42" s="126">
        <v>11976</v>
      </c>
    </row>
    <row r="43" spans="1:27">
      <c r="A43" s="121" t="s">
        <v>123</v>
      </c>
      <c r="B43" s="121" t="s">
        <v>60</v>
      </c>
      <c r="C43" s="121" t="s">
        <v>59</v>
      </c>
      <c r="D43" s="121" t="s">
        <v>58</v>
      </c>
      <c r="E43" s="121" t="s">
        <v>57</v>
      </c>
      <c r="F43" s="121" t="s">
        <v>56</v>
      </c>
      <c r="G43" s="121" t="s">
        <v>55</v>
      </c>
      <c r="H43" s="121" t="s">
        <v>54</v>
      </c>
      <c r="I43" s="121" t="s">
        <v>53</v>
      </c>
      <c r="J43" s="121" t="s">
        <v>52</v>
      </c>
      <c r="K43" s="121" t="s">
        <v>51</v>
      </c>
      <c r="L43" s="122" t="s">
        <v>50</v>
      </c>
      <c r="M43" s="121" t="s">
        <v>49</v>
      </c>
      <c r="N43" s="121" t="s">
        <v>2</v>
      </c>
      <c r="O43" s="121" t="s">
        <v>60</v>
      </c>
      <c r="P43" s="121" t="s">
        <v>59</v>
      </c>
      <c r="Q43" s="121" t="s">
        <v>58</v>
      </c>
      <c r="R43" s="121" t="s">
        <v>57</v>
      </c>
      <c r="S43" s="121" t="s">
        <v>56</v>
      </c>
      <c r="T43" s="121" t="s">
        <v>55</v>
      </c>
      <c r="U43" s="121" t="s">
        <v>54</v>
      </c>
      <c r="V43" s="121" t="s">
        <v>53</v>
      </c>
      <c r="W43" s="121" t="s">
        <v>52</v>
      </c>
      <c r="X43" s="121" t="s">
        <v>51</v>
      </c>
      <c r="Y43" s="121" t="s">
        <v>50</v>
      </c>
      <c r="Z43" s="121" t="s">
        <v>49</v>
      </c>
      <c r="AA43" s="122" t="s">
        <v>2</v>
      </c>
    </row>
    <row r="44" spans="1:27">
      <c r="A44" s="121">
        <v>1</v>
      </c>
      <c r="B44" s="123">
        <v>4.4000000000000003E-3</v>
      </c>
      <c r="C44" s="123">
        <v>3.14E-3</v>
      </c>
      <c r="D44" s="123">
        <v>4.3E-3</v>
      </c>
      <c r="E44" s="123">
        <v>5.8599999999999998E-3</v>
      </c>
      <c r="F44" s="123">
        <v>6.9699999999999996E-3</v>
      </c>
      <c r="G44" s="123">
        <v>5.45E-3</v>
      </c>
      <c r="H44" s="123">
        <v>3.2399999999999998E-3</v>
      </c>
      <c r="I44" s="123">
        <v>2.8900000000000002E-3</v>
      </c>
      <c r="J44" s="123">
        <v>4.7299999999999998E-3</v>
      </c>
      <c r="K44" s="123">
        <v>0</v>
      </c>
      <c r="L44" s="122">
        <v>1.1610000000000001E-2</v>
      </c>
      <c r="M44" s="123">
        <v>8.6E-3</v>
      </c>
      <c r="N44" s="123">
        <v>4.8399999999999997E-3</v>
      </c>
      <c r="O44" s="123">
        <v>4.7099999999999998E-3</v>
      </c>
      <c r="P44" s="123">
        <v>4.9500000000000004E-3</v>
      </c>
      <c r="Q44" s="123">
        <v>5.0699999999999999E-3</v>
      </c>
      <c r="R44" s="123">
        <v>4.9399999999999999E-3</v>
      </c>
      <c r="S44" s="123">
        <v>4.4600000000000004E-3</v>
      </c>
      <c r="T44" s="123">
        <v>4.13E-3</v>
      </c>
      <c r="U44" s="123">
        <v>3.8500000000000001E-3</v>
      </c>
      <c r="V44" s="123">
        <v>3.7200000000000002E-3</v>
      </c>
      <c r="W44" s="123">
        <v>3.6800000000000001E-3</v>
      </c>
      <c r="X44" s="123">
        <v>3.7299999999999998E-3</v>
      </c>
      <c r="Y44" s="123">
        <v>3.63E-3</v>
      </c>
      <c r="Z44" s="123">
        <v>3.46E-3</v>
      </c>
      <c r="AA44" s="122">
        <v>4.4299999999999999E-3</v>
      </c>
    </row>
    <row r="45" spans="1:27">
      <c r="A45" s="121">
        <v>2</v>
      </c>
      <c r="B45" s="123">
        <v>1.7610000000000001E-2</v>
      </c>
      <c r="C45" s="123">
        <v>1.6979999999999999E-2</v>
      </c>
      <c r="D45" s="123">
        <v>1.106E-2</v>
      </c>
      <c r="E45" s="123">
        <v>1.4970000000000001E-2</v>
      </c>
      <c r="F45" s="123">
        <v>8.7200000000000003E-3</v>
      </c>
      <c r="G45" s="123">
        <v>8.7100000000000007E-3</v>
      </c>
      <c r="H45" s="123">
        <v>1.4019999999999999E-2</v>
      </c>
      <c r="I45" s="123">
        <v>1.1560000000000001E-2</v>
      </c>
      <c r="J45" s="123">
        <v>7.8899999999999994E-3</v>
      </c>
      <c r="K45" s="123">
        <v>5.3600000000000002E-3</v>
      </c>
      <c r="L45" s="122">
        <v>1.934E-2</v>
      </c>
      <c r="M45" s="123">
        <v>8.6E-3</v>
      </c>
      <c r="N45" s="123">
        <v>1.278E-2</v>
      </c>
      <c r="O45" s="123">
        <v>1.021E-2</v>
      </c>
      <c r="P45" s="123">
        <v>1.0279999999999999E-2</v>
      </c>
      <c r="Q45" s="123">
        <v>1.0120000000000001E-2</v>
      </c>
      <c r="R45" s="123">
        <v>9.6399999999999993E-3</v>
      </c>
      <c r="S45" s="123">
        <v>8.9599999999999992E-3</v>
      </c>
      <c r="T45" s="123">
        <v>8.6700000000000006E-3</v>
      </c>
      <c r="U45" s="123">
        <v>8.3099999999999997E-3</v>
      </c>
      <c r="V45" s="123">
        <v>8.1300000000000001E-3</v>
      </c>
      <c r="W45" s="123">
        <v>7.8399999999999997E-3</v>
      </c>
      <c r="X45" s="123">
        <v>7.8700000000000003E-3</v>
      </c>
      <c r="Y45" s="123">
        <v>7.7799999999999996E-3</v>
      </c>
      <c r="Z45" s="123">
        <v>7.5399999999999998E-3</v>
      </c>
      <c r="AA45" s="122">
        <v>9.1900000000000003E-3</v>
      </c>
    </row>
    <row r="46" spans="1:27">
      <c r="A46" s="121">
        <v>3</v>
      </c>
      <c r="B46" s="123">
        <v>2.5680000000000001E-2</v>
      </c>
      <c r="C46" s="123">
        <v>2.138E-2</v>
      </c>
      <c r="D46" s="123">
        <v>1.537E-2</v>
      </c>
      <c r="E46" s="123">
        <v>1.9529999999999999E-2</v>
      </c>
      <c r="F46" s="123">
        <v>1.133E-2</v>
      </c>
      <c r="G46" s="123">
        <v>9.7999999999999997E-3</v>
      </c>
      <c r="H46" s="123">
        <v>1.5100000000000001E-2</v>
      </c>
      <c r="I46" s="123">
        <v>1.4449999999999999E-2</v>
      </c>
      <c r="J46" s="123">
        <v>7.8899999999999994E-3</v>
      </c>
      <c r="K46" s="123">
        <v>5.3600000000000002E-3</v>
      </c>
      <c r="L46" s="122">
        <v>2.3210000000000001E-2</v>
      </c>
      <c r="M46" s="123">
        <v>1.0749999999999999E-2</v>
      </c>
      <c r="N46" s="123">
        <v>1.6279999999999999E-2</v>
      </c>
      <c r="O46" s="123">
        <v>1.5689999999999999E-2</v>
      </c>
      <c r="P46" s="123">
        <v>1.6029999999999999E-2</v>
      </c>
      <c r="Q46" s="123">
        <v>1.5859999999999999E-2</v>
      </c>
      <c r="R46" s="123">
        <v>1.5129999999999999E-2</v>
      </c>
      <c r="S46" s="123">
        <v>1.3979999999999999E-2</v>
      </c>
      <c r="T46" s="123">
        <v>1.3610000000000001E-2</v>
      </c>
      <c r="U46" s="123">
        <v>1.3310000000000001E-2</v>
      </c>
      <c r="V46" s="123">
        <v>1.324E-2</v>
      </c>
      <c r="W46" s="123">
        <v>1.2970000000000001E-2</v>
      </c>
      <c r="X46" s="123">
        <v>1.289E-2</v>
      </c>
      <c r="Y46" s="123">
        <v>1.2710000000000001E-2</v>
      </c>
      <c r="Z46" s="123">
        <v>1.235E-2</v>
      </c>
      <c r="AA46" s="122">
        <v>1.4500000000000001E-2</v>
      </c>
    </row>
    <row r="47" spans="1:27">
      <c r="A47" s="121">
        <v>4</v>
      </c>
      <c r="B47" s="123">
        <v>3.0810000000000001E-2</v>
      </c>
      <c r="C47" s="123">
        <v>2.3269999999999999E-2</v>
      </c>
      <c r="D47" s="123">
        <v>1.9050000000000001E-2</v>
      </c>
      <c r="E47" s="123">
        <v>2.3439999999999999E-2</v>
      </c>
      <c r="F47" s="123">
        <v>1.5689999999999999E-2</v>
      </c>
      <c r="G47" s="123">
        <v>1.1979999999999999E-2</v>
      </c>
      <c r="H47" s="123">
        <v>1.8339999999999999E-2</v>
      </c>
      <c r="I47" s="123">
        <v>1.7340000000000001E-2</v>
      </c>
      <c r="J47" s="123">
        <v>1.1039999999999999E-2</v>
      </c>
      <c r="K47" s="123">
        <v>7.1399999999999996E-3</v>
      </c>
      <c r="L47" s="122">
        <v>2.5149999999999999E-2</v>
      </c>
      <c r="M47" s="123">
        <v>1.29E-2</v>
      </c>
      <c r="N47" s="123">
        <v>1.9539999999999998E-2</v>
      </c>
      <c r="O47" s="123">
        <v>2.1690000000000001E-2</v>
      </c>
      <c r="P47" s="123">
        <v>2.2200000000000001E-2</v>
      </c>
      <c r="Q47" s="123">
        <v>2.2200000000000001E-2</v>
      </c>
      <c r="R47" s="123">
        <v>2.1399999999999999E-2</v>
      </c>
      <c r="S47" s="123">
        <v>2.0060000000000001E-2</v>
      </c>
      <c r="T47" s="123">
        <v>1.9529999999999999E-2</v>
      </c>
      <c r="U47" s="123">
        <v>1.917E-2</v>
      </c>
      <c r="V47" s="123">
        <v>1.917E-2</v>
      </c>
      <c r="W47" s="123">
        <v>1.874E-2</v>
      </c>
      <c r="X47" s="123">
        <v>1.8239999999999999E-2</v>
      </c>
      <c r="Y47" s="123">
        <v>1.7840000000000002E-2</v>
      </c>
      <c r="Z47" s="123">
        <v>1.7479999999999999E-2</v>
      </c>
      <c r="AA47" s="122">
        <v>2.0480000000000002E-2</v>
      </c>
    </row>
    <row r="48" spans="1:27">
      <c r="A48" s="121">
        <v>5</v>
      </c>
      <c r="B48" s="123">
        <v>3.4479999999999997E-2</v>
      </c>
      <c r="C48" s="123">
        <v>2.6419999999999999E-2</v>
      </c>
      <c r="D48" s="123">
        <v>2.3970000000000002E-2</v>
      </c>
      <c r="E48" s="123">
        <v>2.734E-2</v>
      </c>
      <c r="F48" s="123">
        <v>1.5689999999999999E-2</v>
      </c>
      <c r="G48" s="123">
        <v>1.307E-2</v>
      </c>
      <c r="H48" s="123">
        <v>2.0500000000000001E-2</v>
      </c>
      <c r="I48" s="123">
        <v>2.1680000000000001E-2</v>
      </c>
      <c r="J48" s="123">
        <v>1.4200000000000001E-2</v>
      </c>
      <c r="K48" s="123">
        <v>7.1399999999999996E-3</v>
      </c>
      <c r="L48" s="122">
        <v>2.708E-2</v>
      </c>
      <c r="M48" s="123">
        <v>1.5049999999999999E-2</v>
      </c>
      <c r="N48" s="123">
        <v>2.2380000000000001E-2</v>
      </c>
      <c r="O48" s="123">
        <v>2.8879999999999999E-2</v>
      </c>
      <c r="P48" s="123">
        <v>2.9489999999999999E-2</v>
      </c>
      <c r="Q48" s="123">
        <v>2.9530000000000001E-2</v>
      </c>
      <c r="R48" s="123">
        <v>2.8559999999999999E-2</v>
      </c>
      <c r="S48" s="123">
        <v>2.681E-2</v>
      </c>
      <c r="T48" s="123">
        <v>2.5760000000000002E-2</v>
      </c>
      <c r="U48" s="123">
        <v>2.5170000000000001E-2</v>
      </c>
      <c r="V48" s="123">
        <v>2.5399999999999999E-2</v>
      </c>
      <c r="W48" s="123">
        <v>2.5319999999999999E-2</v>
      </c>
      <c r="X48" s="123">
        <v>2.512E-2</v>
      </c>
      <c r="Y48" s="123">
        <v>2.4459999999999999E-2</v>
      </c>
      <c r="Z48" s="123">
        <v>2.4E-2</v>
      </c>
      <c r="AA48" s="122">
        <v>2.734E-2</v>
      </c>
    </row>
    <row r="49" spans="1:27">
      <c r="A49" s="121">
        <v>6</v>
      </c>
      <c r="B49" s="123">
        <v>4.2549999999999998E-2</v>
      </c>
      <c r="C49" s="123">
        <v>3.1449999999999999E-2</v>
      </c>
      <c r="D49" s="123">
        <v>3.0120000000000001E-2</v>
      </c>
      <c r="E49" s="123">
        <v>3.125E-2</v>
      </c>
      <c r="F49" s="123">
        <v>1.831E-2</v>
      </c>
      <c r="G49" s="123">
        <v>1.4160000000000001E-2</v>
      </c>
      <c r="H49" s="123">
        <v>2.3730000000000001E-2</v>
      </c>
      <c r="I49" s="123">
        <v>2.3120000000000002E-2</v>
      </c>
      <c r="J49" s="123">
        <v>1.4200000000000001E-2</v>
      </c>
      <c r="K49" s="123">
        <v>8.9300000000000004E-3</v>
      </c>
      <c r="L49" s="122">
        <v>2.708E-2</v>
      </c>
      <c r="M49" s="123">
        <v>1.9349999999999999E-2</v>
      </c>
      <c r="N49" s="123">
        <v>2.622E-2</v>
      </c>
      <c r="O49" s="123">
        <v>3.6760000000000001E-2</v>
      </c>
      <c r="P49" s="123">
        <v>3.7060000000000003E-2</v>
      </c>
      <c r="Q49" s="123">
        <v>3.6940000000000001E-2</v>
      </c>
      <c r="R49" s="123">
        <v>3.601E-2</v>
      </c>
      <c r="S49" s="123">
        <v>3.4410000000000003E-2</v>
      </c>
      <c r="T49" s="123">
        <v>3.3649999999999999E-2</v>
      </c>
      <c r="U49" s="123">
        <v>3.2820000000000002E-2</v>
      </c>
      <c r="V49" s="123">
        <v>3.3230000000000003E-2</v>
      </c>
      <c r="W49" s="123">
        <v>3.295E-2</v>
      </c>
      <c r="X49" s="123">
        <v>3.2779999999999997E-2</v>
      </c>
      <c r="Y49" s="123">
        <v>3.2460000000000003E-2</v>
      </c>
      <c r="Z49" s="123">
        <v>3.177E-2</v>
      </c>
      <c r="AA49" s="122">
        <v>3.499E-2</v>
      </c>
    </row>
    <row r="51" spans="1:27">
      <c r="A51" s="125" t="s">
        <v>131</v>
      </c>
      <c r="B51" s="160" t="s">
        <v>124</v>
      </c>
      <c r="C51" s="161"/>
      <c r="D51" s="161"/>
      <c r="E51" s="161"/>
      <c r="F51" s="161"/>
      <c r="G51" s="161"/>
      <c r="H51" s="161"/>
      <c r="I51" s="161"/>
      <c r="J51" s="161"/>
      <c r="K51" s="161"/>
      <c r="L51" s="161"/>
      <c r="M51" s="161"/>
      <c r="N51" s="162"/>
      <c r="O51" s="163" t="s">
        <v>125</v>
      </c>
      <c r="P51" s="163"/>
      <c r="Q51" s="163"/>
      <c r="R51" s="163"/>
      <c r="S51" s="163"/>
      <c r="T51" s="163"/>
      <c r="U51" s="163"/>
      <c r="V51" s="163"/>
      <c r="W51" s="163"/>
      <c r="X51" s="163"/>
      <c r="Y51" s="163"/>
      <c r="Z51" s="163"/>
      <c r="AA51" s="163"/>
    </row>
    <row r="52" spans="1:27">
      <c r="A52" s="127" t="s">
        <v>132</v>
      </c>
      <c r="B52" s="126">
        <v>2087</v>
      </c>
      <c r="C52" s="126">
        <v>2684</v>
      </c>
      <c r="D52" s="126">
        <v>2998</v>
      </c>
      <c r="E52" s="126">
        <v>2773</v>
      </c>
      <c r="F52" s="126">
        <v>2342</v>
      </c>
      <c r="G52" s="126">
        <v>1637</v>
      </c>
      <c r="H52" s="126">
        <v>1269</v>
      </c>
      <c r="I52" s="126">
        <v>1210</v>
      </c>
      <c r="J52" s="126">
        <v>969</v>
      </c>
      <c r="K52" s="126">
        <v>811</v>
      </c>
      <c r="L52" s="126">
        <v>708</v>
      </c>
      <c r="M52" s="126">
        <v>599</v>
      </c>
      <c r="N52" s="126">
        <v>20087</v>
      </c>
      <c r="O52" s="126">
        <v>2087</v>
      </c>
      <c r="P52" s="126">
        <v>2684</v>
      </c>
      <c r="Q52" s="126">
        <v>2998</v>
      </c>
      <c r="R52" s="126">
        <v>2773</v>
      </c>
      <c r="S52" s="126">
        <v>2342</v>
      </c>
      <c r="T52" s="126">
        <v>1637</v>
      </c>
      <c r="U52" s="126">
        <v>1269</v>
      </c>
      <c r="V52" s="126">
        <v>1210</v>
      </c>
      <c r="W52" s="126">
        <v>969</v>
      </c>
      <c r="X52" s="126">
        <v>811</v>
      </c>
      <c r="Y52" s="126">
        <v>708</v>
      </c>
      <c r="Z52" s="126">
        <v>599</v>
      </c>
      <c r="AA52" s="126">
        <v>20087</v>
      </c>
    </row>
    <row r="53" spans="1:27">
      <c r="A53" s="121" t="s">
        <v>123</v>
      </c>
      <c r="B53" s="121" t="s">
        <v>60</v>
      </c>
      <c r="C53" s="121" t="s">
        <v>59</v>
      </c>
      <c r="D53" s="121" t="s">
        <v>58</v>
      </c>
      <c r="E53" s="121" t="s">
        <v>57</v>
      </c>
      <c r="F53" s="121" t="s">
        <v>56</v>
      </c>
      <c r="G53" s="121" t="s">
        <v>55</v>
      </c>
      <c r="H53" s="121" t="s">
        <v>54</v>
      </c>
      <c r="I53" s="121" t="s">
        <v>53</v>
      </c>
      <c r="J53" s="121" t="s">
        <v>52</v>
      </c>
      <c r="K53" s="121" t="s">
        <v>51</v>
      </c>
      <c r="L53" s="122" t="s">
        <v>50</v>
      </c>
      <c r="M53" s="121" t="s">
        <v>49</v>
      </c>
      <c r="N53" s="121" t="s">
        <v>2</v>
      </c>
      <c r="O53" s="121" t="s">
        <v>60</v>
      </c>
      <c r="P53" s="121" t="s">
        <v>59</v>
      </c>
      <c r="Q53" s="121" t="s">
        <v>58</v>
      </c>
      <c r="R53" s="121" t="s">
        <v>57</v>
      </c>
      <c r="S53" s="121" t="s">
        <v>56</v>
      </c>
      <c r="T53" s="121" t="s">
        <v>55</v>
      </c>
      <c r="U53" s="121" t="s">
        <v>54</v>
      </c>
      <c r="V53" s="121" t="s">
        <v>53</v>
      </c>
      <c r="W53" s="121" t="s">
        <v>52</v>
      </c>
      <c r="X53" s="121" t="s">
        <v>51</v>
      </c>
      <c r="Y53" s="121" t="s">
        <v>50</v>
      </c>
      <c r="Z53" s="121" t="s">
        <v>49</v>
      </c>
      <c r="AA53" s="122" t="s">
        <v>2</v>
      </c>
    </row>
    <row r="54" spans="1:27">
      <c r="A54" s="121">
        <v>1</v>
      </c>
      <c r="B54" s="123">
        <v>2.8700000000000002E-3</v>
      </c>
      <c r="C54" s="123">
        <v>4.1000000000000003E-3</v>
      </c>
      <c r="D54" s="123">
        <v>2E-3</v>
      </c>
      <c r="E54" s="123">
        <v>5.0499999999999998E-3</v>
      </c>
      <c r="F54" s="123">
        <v>5.5500000000000002E-3</v>
      </c>
      <c r="G54" s="123">
        <v>4.8900000000000002E-3</v>
      </c>
      <c r="H54" s="123">
        <v>7.9000000000000001E-4</v>
      </c>
      <c r="I54" s="123">
        <v>5.79E-3</v>
      </c>
      <c r="J54" s="123">
        <v>5.1599999999999997E-3</v>
      </c>
      <c r="K54" s="123">
        <v>8.6300000000000005E-3</v>
      </c>
      <c r="L54" s="122">
        <v>8.4700000000000001E-3</v>
      </c>
      <c r="M54" s="123">
        <v>3.3400000000000001E-3</v>
      </c>
      <c r="N54" s="123">
        <v>4.28E-3</v>
      </c>
      <c r="O54" s="123">
        <v>4.4200000000000003E-3</v>
      </c>
      <c r="P54" s="123">
        <v>4.64E-3</v>
      </c>
      <c r="Q54" s="123">
        <v>4.7600000000000003E-3</v>
      </c>
      <c r="R54" s="123">
        <v>4.6299999999999996E-3</v>
      </c>
      <c r="S54" s="123">
        <v>4.1599999999999996E-3</v>
      </c>
      <c r="T54" s="123">
        <v>3.8800000000000002E-3</v>
      </c>
      <c r="U54" s="123">
        <v>3.5999999999999999E-3</v>
      </c>
      <c r="V54" s="123">
        <v>3.46E-3</v>
      </c>
      <c r="W54" s="123">
        <v>3.4399999999999999E-3</v>
      </c>
      <c r="X54" s="123">
        <v>3.48E-3</v>
      </c>
      <c r="Y54" s="123">
        <v>3.3999999999999998E-3</v>
      </c>
      <c r="Z54" s="123">
        <v>3.2299999999999998E-3</v>
      </c>
      <c r="AA54" s="122">
        <v>4.1900000000000001E-3</v>
      </c>
    </row>
    <row r="55" spans="1:27">
      <c r="A55" s="121">
        <v>2</v>
      </c>
      <c r="B55" s="123">
        <v>1.0059999999999999E-2</v>
      </c>
      <c r="C55" s="123">
        <v>1.0800000000000001E-2</v>
      </c>
      <c r="D55" s="123">
        <v>8.0099999999999998E-3</v>
      </c>
      <c r="E55" s="123">
        <v>1.0460000000000001E-2</v>
      </c>
      <c r="F55" s="123">
        <v>8.9700000000000005E-3</v>
      </c>
      <c r="G55" s="123">
        <v>1.038E-2</v>
      </c>
      <c r="H55" s="123">
        <v>5.5199999999999997E-3</v>
      </c>
      <c r="I55" s="123">
        <v>9.92E-3</v>
      </c>
      <c r="J55" s="123">
        <v>9.2899999999999996E-3</v>
      </c>
      <c r="K55" s="123">
        <v>1.2330000000000001E-2</v>
      </c>
      <c r="L55" s="122">
        <v>1.4120000000000001E-2</v>
      </c>
      <c r="M55" s="123">
        <v>1.0019999999999999E-2</v>
      </c>
      <c r="N55" s="123">
        <v>9.7099999999999999E-3</v>
      </c>
      <c r="O55" s="123">
        <v>9.58E-3</v>
      </c>
      <c r="P55" s="123">
        <v>9.6399999999999993E-3</v>
      </c>
      <c r="Q55" s="123">
        <v>9.4900000000000002E-3</v>
      </c>
      <c r="R55" s="123">
        <v>9.0399999999999994E-3</v>
      </c>
      <c r="S55" s="123">
        <v>8.3599999999999994E-3</v>
      </c>
      <c r="T55" s="123">
        <v>8.1399999999999997E-3</v>
      </c>
      <c r="U55" s="123">
        <v>7.77E-3</v>
      </c>
      <c r="V55" s="123">
        <v>7.5700000000000003E-3</v>
      </c>
      <c r="W55" s="123">
        <v>7.3400000000000002E-3</v>
      </c>
      <c r="X55" s="123">
        <v>7.3200000000000001E-3</v>
      </c>
      <c r="Y55" s="123">
        <v>7.2700000000000004E-3</v>
      </c>
      <c r="Z55" s="123">
        <v>7.0299999999999998E-3</v>
      </c>
      <c r="AA55" s="122">
        <v>8.6499999999999997E-3</v>
      </c>
    </row>
    <row r="56" spans="1:27">
      <c r="A56" s="121">
        <v>3</v>
      </c>
      <c r="B56" s="123">
        <v>1.294E-2</v>
      </c>
      <c r="C56" s="123">
        <v>1.49E-2</v>
      </c>
      <c r="D56" s="123">
        <v>1.201E-2</v>
      </c>
      <c r="E56" s="123">
        <v>1.37E-2</v>
      </c>
      <c r="F56" s="123">
        <v>1.324E-2</v>
      </c>
      <c r="G56" s="123">
        <v>1.3440000000000001E-2</v>
      </c>
      <c r="H56" s="123">
        <v>7.8799999999999999E-3</v>
      </c>
      <c r="I56" s="123">
        <v>1.653E-2</v>
      </c>
      <c r="J56" s="123">
        <v>1.342E-2</v>
      </c>
      <c r="K56" s="123">
        <v>1.9730000000000001E-2</v>
      </c>
      <c r="L56" s="122">
        <v>1.9769999999999999E-2</v>
      </c>
      <c r="M56" s="123">
        <v>1.503E-2</v>
      </c>
      <c r="N56" s="123">
        <v>1.374E-2</v>
      </c>
      <c r="O56" s="123">
        <v>1.47E-2</v>
      </c>
      <c r="P56" s="123">
        <v>1.503E-2</v>
      </c>
      <c r="Q56" s="123">
        <v>1.487E-2</v>
      </c>
      <c r="R56" s="123">
        <v>1.418E-2</v>
      </c>
      <c r="S56" s="123">
        <v>1.304E-2</v>
      </c>
      <c r="T56" s="123">
        <v>1.278E-2</v>
      </c>
      <c r="U56" s="123">
        <v>1.2449999999999999E-2</v>
      </c>
      <c r="V56" s="123">
        <v>1.234E-2</v>
      </c>
      <c r="W56" s="123">
        <v>1.213E-2</v>
      </c>
      <c r="X56" s="123">
        <v>1.2E-2</v>
      </c>
      <c r="Y56" s="123">
        <v>1.188E-2</v>
      </c>
      <c r="Z56" s="123">
        <v>1.1520000000000001E-2</v>
      </c>
      <c r="AA56" s="122">
        <v>1.3639999999999999E-2</v>
      </c>
    </row>
    <row r="57" spans="1:27">
      <c r="A57" s="121">
        <v>4</v>
      </c>
      <c r="B57" s="123">
        <v>1.821E-2</v>
      </c>
      <c r="C57" s="123">
        <v>1.975E-2</v>
      </c>
      <c r="D57" s="123">
        <v>1.434E-2</v>
      </c>
      <c r="E57" s="123">
        <v>1.8030000000000001E-2</v>
      </c>
      <c r="F57" s="123">
        <v>1.6230000000000001E-2</v>
      </c>
      <c r="G57" s="123">
        <v>1.5270000000000001E-2</v>
      </c>
      <c r="H57" s="123">
        <v>1.4970000000000001E-2</v>
      </c>
      <c r="I57" s="123">
        <v>2.3140000000000001E-2</v>
      </c>
      <c r="J57" s="123">
        <v>2.1669999999999998E-2</v>
      </c>
      <c r="K57" s="123">
        <v>2.3429999999999999E-2</v>
      </c>
      <c r="L57" s="122">
        <v>2.5420000000000002E-2</v>
      </c>
      <c r="M57" s="123">
        <v>2.0029999999999999E-2</v>
      </c>
      <c r="N57" s="123">
        <v>1.8120000000000001E-2</v>
      </c>
      <c r="O57" s="123">
        <v>2.0330000000000001E-2</v>
      </c>
      <c r="P57" s="123">
        <v>2.0809999999999999E-2</v>
      </c>
      <c r="Q57" s="123">
        <v>2.0820000000000002E-2</v>
      </c>
      <c r="R57" s="123">
        <v>2.0039999999999999E-2</v>
      </c>
      <c r="S57" s="123">
        <v>1.8710000000000001E-2</v>
      </c>
      <c r="T57" s="123">
        <v>1.8329999999999999E-2</v>
      </c>
      <c r="U57" s="123">
        <v>1.7930000000000001E-2</v>
      </c>
      <c r="V57" s="123">
        <v>1.7860000000000001E-2</v>
      </c>
      <c r="W57" s="123">
        <v>1.753E-2</v>
      </c>
      <c r="X57" s="123">
        <v>1.6990000000000002E-2</v>
      </c>
      <c r="Y57" s="123">
        <v>1.6670000000000001E-2</v>
      </c>
      <c r="Z57" s="123">
        <v>1.6299999999999999E-2</v>
      </c>
      <c r="AA57" s="122">
        <v>1.925E-2</v>
      </c>
    </row>
    <row r="58" spans="1:27">
      <c r="A58" s="121">
        <v>5</v>
      </c>
      <c r="B58" s="123">
        <v>2.1080000000000002E-2</v>
      </c>
      <c r="C58" s="123">
        <v>2.2349999999999998E-2</v>
      </c>
      <c r="D58" s="123">
        <v>1.668E-2</v>
      </c>
      <c r="E58" s="123">
        <v>2.0920000000000001E-2</v>
      </c>
      <c r="F58" s="123">
        <v>2.0070000000000001E-2</v>
      </c>
      <c r="G58" s="123">
        <v>2.077E-2</v>
      </c>
      <c r="H58" s="123">
        <v>1.9699999999999999E-2</v>
      </c>
      <c r="I58" s="123">
        <v>2.3970000000000002E-2</v>
      </c>
      <c r="J58" s="123">
        <v>2.683E-2</v>
      </c>
      <c r="K58" s="123">
        <v>2.836E-2</v>
      </c>
      <c r="L58" s="122">
        <v>3.2489999999999998E-2</v>
      </c>
      <c r="M58" s="123">
        <v>2.1700000000000001E-2</v>
      </c>
      <c r="N58" s="123">
        <v>2.1510000000000001E-2</v>
      </c>
      <c r="O58" s="123">
        <v>2.7060000000000001E-2</v>
      </c>
      <c r="P58" s="123">
        <v>2.7640000000000001E-2</v>
      </c>
      <c r="Q58" s="123">
        <v>2.768E-2</v>
      </c>
      <c r="R58" s="123">
        <v>2.6749999999999999E-2</v>
      </c>
      <c r="S58" s="123">
        <v>2.5010000000000001E-2</v>
      </c>
      <c r="T58" s="123">
        <v>2.4160000000000001E-2</v>
      </c>
      <c r="U58" s="123">
        <v>2.3529999999999999E-2</v>
      </c>
      <c r="V58" s="123">
        <v>2.367E-2</v>
      </c>
      <c r="W58" s="123">
        <v>2.368E-2</v>
      </c>
      <c r="X58" s="123">
        <v>2.3400000000000001E-2</v>
      </c>
      <c r="Y58" s="123">
        <v>2.2859999999999998E-2</v>
      </c>
      <c r="Z58" s="123">
        <v>2.2380000000000001E-2</v>
      </c>
      <c r="AA58" s="122">
        <v>2.5690000000000001E-2</v>
      </c>
    </row>
    <row r="59" spans="1:27">
      <c r="A59" s="121">
        <v>6</v>
      </c>
      <c r="B59" s="123">
        <v>2.6349999999999998E-2</v>
      </c>
      <c r="C59" s="123">
        <v>2.683E-2</v>
      </c>
      <c r="D59" s="123">
        <v>1.968E-2</v>
      </c>
      <c r="E59" s="123">
        <v>2.2720000000000001E-2</v>
      </c>
      <c r="F59" s="123">
        <v>2.2630000000000001E-2</v>
      </c>
      <c r="G59" s="123">
        <v>2.3210000000000001E-2</v>
      </c>
      <c r="H59" s="123">
        <v>2.0490000000000001E-2</v>
      </c>
      <c r="I59" s="123">
        <v>2.9749999999999999E-2</v>
      </c>
      <c r="J59" s="123">
        <v>2.7859999999999999E-2</v>
      </c>
      <c r="K59" s="123">
        <v>2.836E-2</v>
      </c>
      <c r="L59" s="122">
        <v>3.2489999999999998E-2</v>
      </c>
      <c r="M59" s="123">
        <v>2.3369999999999998E-2</v>
      </c>
      <c r="N59" s="123">
        <v>2.4340000000000001E-2</v>
      </c>
      <c r="O59" s="123">
        <v>3.4439999999999998E-2</v>
      </c>
      <c r="P59" s="123">
        <v>3.4729999999999997E-2</v>
      </c>
      <c r="Q59" s="123">
        <v>3.4619999999999998E-2</v>
      </c>
      <c r="R59" s="123">
        <v>3.372E-2</v>
      </c>
      <c r="S59" s="123">
        <v>3.209E-2</v>
      </c>
      <c r="T59" s="123">
        <v>3.1559999999999998E-2</v>
      </c>
      <c r="U59" s="123">
        <v>3.0689999999999999E-2</v>
      </c>
      <c r="V59" s="123">
        <v>3.0970000000000001E-2</v>
      </c>
      <c r="W59" s="123">
        <v>3.0810000000000001E-2</v>
      </c>
      <c r="X59" s="123">
        <v>3.0540000000000001E-2</v>
      </c>
      <c r="Y59" s="123">
        <v>3.0329999999999999E-2</v>
      </c>
      <c r="Z59" s="123">
        <v>2.963E-2</v>
      </c>
      <c r="AA59" s="122">
        <v>3.2829999999999998E-2</v>
      </c>
    </row>
    <row r="61" spans="1:27">
      <c r="A61" s="125" t="s">
        <v>133</v>
      </c>
      <c r="B61" s="160" t="s">
        <v>124</v>
      </c>
      <c r="C61" s="161"/>
      <c r="D61" s="161"/>
      <c r="E61" s="161"/>
      <c r="F61" s="161"/>
      <c r="G61" s="161"/>
      <c r="H61" s="161"/>
      <c r="I61" s="161"/>
      <c r="J61" s="161"/>
      <c r="K61" s="161"/>
      <c r="L61" s="161"/>
      <c r="M61" s="161"/>
      <c r="N61" s="162"/>
      <c r="O61" s="163" t="s">
        <v>125</v>
      </c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</row>
    <row r="62" spans="1:27">
      <c r="A62" s="127" t="s">
        <v>132</v>
      </c>
      <c r="B62" s="126">
        <f>SUM(B2,B12,B22,B32,B42,B52)</f>
        <v>51278</v>
      </c>
      <c r="C62" s="126">
        <f t="shared" ref="C62:AA62" si="0">SUM(C2,C12,C22,C32,C42,C52)</f>
        <v>52033</v>
      </c>
      <c r="D62" s="126">
        <f t="shared" si="0"/>
        <v>52499</v>
      </c>
      <c r="E62" s="126">
        <f t="shared" si="0"/>
        <v>52651</v>
      </c>
      <c r="F62" s="126">
        <f t="shared" si="0"/>
        <v>51998</v>
      </c>
      <c r="G62" s="126">
        <f t="shared" si="0"/>
        <v>51577</v>
      </c>
      <c r="H62" s="126">
        <f t="shared" si="0"/>
        <v>51129</v>
      </c>
      <c r="I62" s="126">
        <f t="shared" si="0"/>
        <v>49984</v>
      </c>
      <c r="J62" s="126">
        <f t="shared" si="0"/>
        <v>49016</v>
      </c>
      <c r="K62" s="126">
        <f t="shared" si="0"/>
        <v>48330</v>
      </c>
      <c r="L62" s="126">
        <f t="shared" si="0"/>
        <v>47410</v>
      </c>
      <c r="M62" s="126">
        <f t="shared" si="0"/>
        <v>46349</v>
      </c>
      <c r="N62" s="126">
        <f t="shared" si="0"/>
        <v>604254</v>
      </c>
      <c r="O62" s="126">
        <f t="shared" si="0"/>
        <v>51278</v>
      </c>
      <c r="P62" s="126">
        <f t="shared" si="0"/>
        <v>52033</v>
      </c>
      <c r="Q62" s="126">
        <f t="shared" si="0"/>
        <v>52499</v>
      </c>
      <c r="R62" s="126">
        <f t="shared" si="0"/>
        <v>52651</v>
      </c>
      <c r="S62" s="126">
        <f t="shared" si="0"/>
        <v>51998</v>
      </c>
      <c r="T62" s="126">
        <f t="shared" si="0"/>
        <v>51577</v>
      </c>
      <c r="U62" s="126">
        <f t="shared" si="0"/>
        <v>51129</v>
      </c>
      <c r="V62" s="126">
        <f t="shared" si="0"/>
        <v>49984</v>
      </c>
      <c r="W62" s="126">
        <f t="shared" si="0"/>
        <v>49016</v>
      </c>
      <c r="X62" s="126">
        <f t="shared" si="0"/>
        <v>48330</v>
      </c>
      <c r="Y62" s="126">
        <f t="shared" si="0"/>
        <v>47410</v>
      </c>
      <c r="Z62" s="126">
        <f t="shared" si="0"/>
        <v>46349</v>
      </c>
      <c r="AA62" s="126">
        <f t="shared" si="0"/>
        <v>604254</v>
      </c>
    </row>
    <row r="63" spans="1:27">
      <c r="A63" s="121" t="s">
        <v>123</v>
      </c>
      <c r="B63" s="121" t="s">
        <v>60</v>
      </c>
      <c r="C63" s="121" t="s">
        <v>59</v>
      </c>
      <c r="D63" s="121" t="s">
        <v>58</v>
      </c>
      <c r="E63" s="121" t="s">
        <v>57</v>
      </c>
      <c r="F63" s="121" t="s">
        <v>56</v>
      </c>
      <c r="G63" s="121" t="s">
        <v>55</v>
      </c>
      <c r="H63" s="121" t="s">
        <v>54</v>
      </c>
      <c r="I63" s="121" t="s">
        <v>53</v>
      </c>
      <c r="J63" s="121" t="s">
        <v>52</v>
      </c>
      <c r="K63" s="121" t="s">
        <v>51</v>
      </c>
      <c r="L63" s="122" t="s">
        <v>50</v>
      </c>
      <c r="M63" s="121" t="s">
        <v>49</v>
      </c>
      <c r="N63" s="121" t="s">
        <v>2</v>
      </c>
      <c r="O63" s="121" t="s">
        <v>60</v>
      </c>
      <c r="P63" s="121" t="s">
        <v>59</v>
      </c>
      <c r="Q63" s="121" t="s">
        <v>58</v>
      </c>
      <c r="R63" s="121" t="s">
        <v>57</v>
      </c>
      <c r="S63" s="121" t="s">
        <v>56</v>
      </c>
      <c r="T63" s="121" t="s">
        <v>55</v>
      </c>
      <c r="U63" s="121" t="s">
        <v>54</v>
      </c>
      <c r="V63" s="121" t="s">
        <v>53</v>
      </c>
      <c r="W63" s="121" t="s">
        <v>52</v>
      </c>
      <c r="X63" s="121" t="s">
        <v>51</v>
      </c>
      <c r="Y63" s="121" t="s">
        <v>50</v>
      </c>
      <c r="Z63" s="121" t="s">
        <v>49</v>
      </c>
      <c r="AA63" s="122" t="s">
        <v>2</v>
      </c>
    </row>
    <row r="64" spans="1:27">
      <c r="A64" s="121">
        <v>1</v>
      </c>
      <c r="B64" s="123">
        <f>(B4*B$2+B14*B$12+B24*B$22+B34*B$32+B44*B$42+B54*B$52)/B$62</f>
        <v>6.5311305043098409E-3</v>
      </c>
      <c r="C64" s="123">
        <f t="shared" ref="C64:AA69" si="1">(C4*C$2+C14*C$12+C24*C$22+C34*C$32+C44*C$42+C54*C$52)/C$62</f>
        <v>6.8991119097495807E-3</v>
      </c>
      <c r="D64" s="123">
        <f t="shared" si="1"/>
        <v>7.0834360654488662E-3</v>
      </c>
      <c r="E64" s="123">
        <f t="shared" si="1"/>
        <v>7.010919830582516E-3</v>
      </c>
      <c r="F64" s="123">
        <f t="shared" si="1"/>
        <v>6.154895188276473E-3</v>
      </c>
      <c r="G64" s="123">
        <f t="shared" si="1"/>
        <v>6.1246255113713479E-3</v>
      </c>
      <c r="H64" s="123">
        <f t="shared" si="1"/>
        <v>6.3142660720921593E-3</v>
      </c>
      <c r="I64" s="123">
        <f t="shared" si="1"/>
        <v>5.5625932298335483E-3</v>
      </c>
      <c r="J64" s="123">
        <f t="shared" si="1"/>
        <v>4.4259219438550681E-3</v>
      </c>
      <c r="K64" s="123">
        <f t="shared" si="1"/>
        <v>4.7163906476308708E-3</v>
      </c>
      <c r="L64" s="123">
        <f t="shared" si="1"/>
        <v>4.8913452858046821E-3</v>
      </c>
      <c r="M64" s="123">
        <f t="shared" si="1"/>
        <v>4.3822982157112342E-3</v>
      </c>
      <c r="N64" s="123">
        <f t="shared" si="1"/>
        <v>5.8763277859972792E-3</v>
      </c>
      <c r="O64" s="123">
        <f t="shared" si="1"/>
        <v>6.8529230859237875E-3</v>
      </c>
      <c r="P64" s="123">
        <f t="shared" si="1"/>
        <v>7.0114994330521012E-3</v>
      </c>
      <c r="Q64" s="123">
        <f t="shared" si="1"/>
        <v>7.1533400636202595E-3</v>
      </c>
      <c r="R64" s="123">
        <f t="shared" si="1"/>
        <v>6.6790091356289522E-3</v>
      </c>
      <c r="S64" s="123">
        <f t="shared" si="1"/>
        <v>5.8017056425247121E-3</v>
      </c>
      <c r="T64" s="123">
        <f t="shared" si="1"/>
        <v>5.4538804118114672E-3</v>
      </c>
      <c r="U64" s="123">
        <f t="shared" si="1"/>
        <v>5.1209397797727305E-3</v>
      </c>
      <c r="V64" s="123">
        <f t="shared" si="1"/>
        <v>4.8429395406530086E-3</v>
      </c>
      <c r="W64" s="123">
        <f t="shared" si="1"/>
        <v>4.8323688183450298E-3</v>
      </c>
      <c r="X64" s="123">
        <f t="shared" si="1"/>
        <v>5.0721487688806122E-3</v>
      </c>
      <c r="Y64" s="123">
        <f t="shared" si="1"/>
        <v>4.9016005062223166E-3</v>
      </c>
      <c r="Z64" s="123">
        <f t="shared" si="1"/>
        <v>4.6824518328335025E-3</v>
      </c>
      <c r="AA64" s="123">
        <f t="shared" si="1"/>
        <v>5.7278085043706789E-3</v>
      </c>
    </row>
    <row r="65" spans="1:27">
      <c r="A65" s="121">
        <v>2</v>
      </c>
      <c r="B65" s="123">
        <f t="shared" ref="B65:Q69" si="2">(B5*B$2+B15*B$12+B25*B$22+B35*B$32+B45*B$42+B55*B$52)/B$62</f>
        <v>1.5562844884745892E-2</v>
      </c>
      <c r="C65" s="123">
        <f t="shared" si="2"/>
        <v>1.6198573981896103E-2</v>
      </c>
      <c r="D65" s="123">
        <f t="shared" si="2"/>
        <v>1.5468564734566372E-2</v>
      </c>
      <c r="E65" s="123">
        <f t="shared" si="2"/>
        <v>1.485497198533741E-2</v>
      </c>
      <c r="F65" s="123">
        <f t="shared" si="2"/>
        <v>1.3653699757682989E-2</v>
      </c>
      <c r="G65" s="123">
        <f t="shared" si="2"/>
        <v>1.3128073753804989E-2</v>
      </c>
      <c r="H65" s="123">
        <f t="shared" si="2"/>
        <v>1.3356724168280232E-2</v>
      </c>
      <c r="I65" s="123">
        <f t="shared" si="2"/>
        <v>1.2086045534571061E-2</v>
      </c>
      <c r="J65" s="123">
        <f t="shared" si="2"/>
        <v>1.0545104047657908E-2</v>
      </c>
      <c r="K65" s="123">
        <f t="shared" si="2"/>
        <v>1.1045444651355268E-2</v>
      </c>
      <c r="L65" s="123">
        <f t="shared" si="2"/>
        <v>1.0631479856570345E-2</v>
      </c>
      <c r="M65" s="123">
        <f t="shared" si="2"/>
        <v>1.0032809769358563E-2</v>
      </c>
      <c r="N65" s="123">
        <f t="shared" si="2"/>
        <v>1.3121924505257723E-2</v>
      </c>
      <c r="O65" s="123">
        <f t="shared" si="2"/>
        <v>1.4169221888529196E-2</v>
      </c>
      <c r="P65" s="123">
        <f t="shared" si="2"/>
        <v>1.391073933849672E-2</v>
      </c>
      <c r="Q65" s="123">
        <f t="shared" si="2"/>
        <v>1.3661022876626221E-2</v>
      </c>
      <c r="R65" s="123">
        <f t="shared" si="1"/>
        <v>1.2506340050521357E-2</v>
      </c>
      <c r="S65" s="123">
        <f t="shared" si="1"/>
        <v>1.1184316127543366E-2</v>
      </c>
      <c r="T65" s="123">
        <f t="shared" si="1"/>
        <v>1.0930851154584408E-2</v>
      </c>
      <c r="U65" s="123">
        <f t="shared" si="1"/>
        <v>1.0538731835162041E-2</v>
      </c>
      <c r="V65" s="123">
        <f t="shared" si="1"/>
        <v>1.0093353473111395E-2</v>
      </c>
      <c r="W65" s="123">
        <f t="shared" si="1"/>
        <v>9.8260800554920841E-3</v>
      </c>
      <c r="X65" s="123">
        <f t="shared" si="1"/>
        <v>1.018189778605421E-2</v>
      </c>
      <c r="Y65" s="123">
        <f t="shared" si="1"/>
        <v>9.9950636996414266E-3</v>
      </c>
      <c r="Z65" s="123">
        <f t="shared" si="1"/>
        <v>9.7007059483484002E-3</v>
      </c>
      <c r="AA65" s="123">
        <f t="shared" si="1"/>
        <v>1.1437034144581583E-2</v>
      </c>
    </row>
    <row r="66" spans="1:27">
      <c r="A66" s="121">
        <v>3</v>
      </c>
      <c r="B66" s="123">
        <f t="shared" si="2"/>
        <v>2.2424792503607786E-2</v>
      </c>
      <c r="C66" s="123">
        <f t="shared" si="1"/>
        <v>2.3100634789460537E-2</v>
      </c>
      <c r="D66" s="123">
        <f t="shared" si="1"/>
        <v>2.2152690336958797E-2</v>
      </c>
      <c r="E66" s="123">
        <f t="shared" si="1"/>
        <v>2.1158344380923441E-2</v>
      </c>
      <c r="F66" s="123">
        <f t="shared" si="1"/>
        <v>1.9904475364437093E-2</v>
      </c>
      <c r="G66" s="123">
        <f t="shared" si="1"/>
        <v>1.8983159741745349E-2</v>
      </c>
      <c r="H66" s="123">
        <f t="shared" si="1"/>
        <v>1.8815782237086583E-2</v>
      </c>
      <c r="I66" s="123">
        <f t="shared" si="1"/>
        <v>1.7187249319782334E-2</v>
      </c>
      <c r="J66" s="123">
        <f t="shared" si="1"/>
        <v>1.5624904316957728E-2</v>
      </c>
      <c r="K66" s="123">
        <f t="shared" si="1"/>
        <v>1.5890541278708877E-2</v>
      </c>
      <c r="L66" s="123">
        <f t="shared" si="1"/>
        <v>1.5543969626661042E-2</v>
      </c>
      <c r="M66" s="123">
        <f t="shared" si="1"/>
        <v>1.4867696390429135E-2</v>
      </c>
      <c r="N66" s="123">
        <f t="shared" si="1"/>
        <v>1.8908521896421043E-2</v>
      </c>
      <c r="O66" s="123">
        <f t="shared" si="1"/>
        <v>2.0889415733842977E-2</v>
      </c>
      <c r="P66" s="123">
        <f t="shared" si="1"/>
        <v>2.0782849537793319E-2</v>
      </c>
      <c r="Q66" s="123">
        <f t="shared" si="1"/>
        <v>2.0488512733575878E-2</v>
      </c>
      <c r="R66" s="123">
        <f t="shared" si="1"/>
        <v>1.8787452659968472E-2</v>
      </c>
      <c r="S66" s="123">
        <f t="shared" si="1"/>
        <v>1.673149505750221E-2</v>
      </c>
      <c r="T66" s="123">
        <f t="shared" si="1"/>
        <v>1.6441250169649261E-2</v>
      </c>
      <c r="U66" s="123">
        <f t="shared" si="1"/>
        <v>1.6151172133231632E-2</v>
      </c>
      <c r="V66" s="123">
        <f t="shared" si="1"/>
        <v>1.5702103273047375E-2</v>
      </c>
      <c r="W66" s="123">
        <f t="shared" si="1"/>
        <v>1.5482687081769217E-2</v>
      </c>
      <c r="X66" s="123">
        <f t="shared" si="1"/>
        <v>1.5897007448789569E-2</v>
      </c>
      <c r="Y66" s="123">
        <f t="shared" si="1"/>
        <v>1.5556254376713772E-2</v>
      </c>
      <c r="Z66" s="123">
        <f t="shared" si="1"/>
        <v>1.5120450495156314E-2</v>
      </c>
      <c r="AA66" s="123">
        <f t="shared" si="1"/>
        <v>1.7394228519794656E-2</v>
      </c>
    </row>
    <row r="67" spans="1:27">
      <c r="A67" s="121">
        <v>4</v>
      </c>
      <c r="B67" s="123">
        <f t="shared" si="2"/>
        <v>2.817754417098951E-2</v>
      </c>
      <c r="C67" s="123">
        <f t="shared" si="1"/>
        <v>2.8616274479657137E-2</v>
      </c>
      <c r="D67" s="123">
        <f t="shared" si="1"/>
        <v>2.7234761614506945E-2</v>
      </c>
      <c r="E67" s="123">
        <f t="shared" si="1"/>
        <v>2.5923794799718909E-2</v>
      </c>
      <c r="F67" s="123">
        <f t="shared" si="1"/>
        <v>2.4463492249701908E-2</v>
      </c>
      <c r="G67" s="123">
        <f t="shared" si="1"/>
        <v>2.3361265486554088E-2</v>
      </c>
      <c r="H67" s="123">
        <f t="shared" si="1"/>
        <v>2.3526924054841677E-2</v>
      </c>
      <c r="I67" s="123">
        <f t="shared" si="1"/>
        <v>2.2027655049615874E-2</v>
      </c>
      <c r="J67" s="123">
        <f t="shared" si="1"/>
        <v>2.0419684388771016E-2</v>
      </c>
      <c r="K67" s="123">
        <f t="shared" si="1"/>
        <v>2.0690640388992342E-2</v>
      </c>
      <c r="L67" s="123">
        <f t="shared" si="1"/>
        <v>2.0229204809112E-2</v>
      </c>
      <c r="M67" s="123">
        <f t="shared" si="1"/>
        <v>1.9781748042028955E-2</v>
      </c>
      <c r="N67" s="123">
        <f t="shared" si="1"/>
        <v>2.380771574536536E-2</v>
      </c>
      <c r="O67" s="123">
        <f t="shared" si="1"/>
        <v>2.7750124224813759E-2</v>
      </c>
      <c r="P67" s="123">
        <f t="shared" si="1"/>
        <v>2.7624593815463262E-2</v>
      </c>
      <c r="Q67" s="123">
        <f t="shared" si="1"/>
        <v>2.7507902817196516E-2</v>
      </c>
      <c r="R67" s="123">
        <f t="shared" si="1"/>
        <v>2.54585103796699E-2</v>
      </c>
      <c r="S67" s="123">
        <f t="shared" si="1"/>
        <v>2.2989102080849262E-2</v>
      </c>
      <c r="T67" s="123">
        <f t="shared" si="1"/>
        <v>2.2578410531826201E-2</v>
      </c>
      <c r="U67" s="123">
        <f t="shared" si="1"/>
        <v>2.2265323593264098E-2</v>
      </c>
      <c r="V67" s="123">
        <f t="shared" si="1"/>
        <v>2.1738008362676055E-2</v>
      </c>
      <c r="W67" s="123">
        <f t="shared" si="1"/>
        <v>2.1384822098906478E-2</v>
      </c>
      <c r="X67" s="123">
        <f t="shared" si="1"/>
        <v>2.1533728739913098E-2</v>
      </c>
      <c r="Y67" s="123">
        <f t="shared" si="1"/>
        <v>2.0901720734022359E-2</v>
      </c>
      <c r="Z67" s="123">
        <f t="shared" si="1"/>
        <v>2.0461671880730975E-2</v>
      </c>
      <c r="AA67" s="123">
        <f t="shared" si="1"/>
        <v>2.3595391772334152E-2</v>
      </c>
    </row>
    <row r="68" spans="1:27">
      <c r="A68" s="121">
        <v>5</v>
      </c>
      <c r="B68" s="123">
        <f t="shared" si="2"/>
        <v>3.244895900776161E-2</v>
      </c>
      <c r="C68" s="123">
        <f t="shared" si="1"/>
        <v>3.2611874963965178E-2</v>
      </c>
      <c r="D68" s="123">
        <f t="shared" si="1"/>
        <v>3.1352539476942422E-2</v>
      </c>
      <c r="E68" s="123">
        <f t="shared" si="1"/>
        <v>3.015960266661602E-2</v>
      </c>
      <c r="F68" s="123">
        <f t="shared" si="1"/>
        <v>2.880746874879803E-2</v>
      </c>
      <c r="G68" s="123">
        <f t="shared" si="1"/>
        <v>2.7995169552319829E-2</v>
      </c>
      <c r="H68" s="123">
        <f t="shared" si="1"/>
        <v>2.8280327602730349E-2</v>
      </c>
      <c r="I68" s="123">
        <f t="shared" si="1"/>
        <v>2.6368041373239431E-2</v>
      </c>
      <c r="J68" s="123">
        <f t="shared" si="1"/>
        <v>2.4422182348620855E-2</v>
      </c>
      <c r="K68" s="123">
        <f t="shared" si="1"/>
        <v>2.4997401200082769E-2</v>
      </c>
      <c r="L68" s="123">
        <f t="shared" si="1"/>
        <v>2.4192722843282007E-2</v>
      </c>
      <c r="M68" s="123">
        <f t="shared" si="1"/>
        <v>2.3927644393622303E-2</v>
      </c>
      <c r="N68" s="123">
        <f t="shared" si="1"/>
        <v>2.8073360027405701E-2</v>
      </c>
      <c r="O68" s="123">
        <f t="shared" si="1"/>
        <v>3.5418138577947664E-2</v>
      </c>
      <c r="P68" s="123">
        <f t="shared" si="1"/>
        <v>3.5179022543385931E-2</v>
      </c>
      <c r="Q68" s="123">
        <f t="shared" si="1"/>
        <v>3.5082373378540546E-2</v>
      </c>
      <c r="R68" s="123">
        <f t="shared" si="1"/>
        <v>3.2594649674270199E-2</v>
      </c>
      <c r="S68" s="123">
        <f t="shared" si="1"/>
        <v>2.9504855379053039E-2</v>
      </c>
      <c r="T68" s="123">
        <f t="shared" si="1"/>
        <v>2.8617291234464971E-2</v>
      </c>
      <c r="U68" s="123">
        <f t="shared" si="1"/>
        <v>2.8116268067046101E-2</v>
      </c>
      <c r="V68" s="123">
        <f t="shared" si="1"/>
        <v>2.7672010443341871E-2</v>
      </c>
      <c r="W68" s="123">
        <f t="shared" si="1"/>
        <v>2.76601250612045E-2</v>
      </c>
      <c r="X68" s="123">
        <f t="shared" si="1"/>
        <v>2.8275005793502998E-2</v>
      </c>
      <c r="Y68" s="123">
        <f t="shared" si="1"/>
        <v>2.7323228010968151E-2</v>
      </c>
      <c r="Z68" s="123">
        <f t="shared" si="1"/>
        <v>2.6771085676066366E-2</v>
      </c>
      <c r="AA68" s="123">
        <f t="shared" si="1"/>
        <v>3.027671911149947E-2</v>
      </c>
    </row>
    <row r="69" spans="1:27">
      <c r="A69" s="121">
        <v>6</v>
      </c>
      <c r="B69" s="123">
        <f t="shared" si="2"/>
        <v>3.6293797730020672E-2</v>
      </c>
      <c r="C69" s="123">
        <f t="shared" si="1"/>
        <v>3.6514897468913954E-2</v>
      </c>
      <c r="D69" s="123">
        <f t="shared" si="1"/>
        <v>3.5561195641821752E-2</v>
      </c>
      <c r="E69" s="123">
        <f t="shared" si="1"/>
        <v>3.3866631972802035E-2</v>
      </c>
      <c r="F69" s="123">
        <f t="shared" si="1"/>
        <v>3.2406338705334811E-2</v>
      </c>
      <c r="G69" s="123">
        <f t="shared" si="1"/>
        <v>3.1912400100820131E-2</v>
      </c>
      <c r="H69" s="123">
        <f t="shared" si="1"/>
        <v>3.1821790960120479E-2</v>
      </c>
      <c r="I69" s="123">
        <f t="shared" si="1"/>
        <v>3.0051970430537769E-2</v>
      </c>
      <c r="J69" s="123">
        <f t="shared" si="1"/>
        <v>2.7847124204341437E-2</v>
      </c>
      <c r="K69" s="123">
        <f t="shared" si="1"/>
        <v>2.8261909579971035E-2</v>
      </c>
      <c r="L69" s="123">
        <f t="shared" si="1"/>
        <v>2.7797494621387895E-2</v>
      </c>
      <c r="M69" s="123">
        <f t="shared" si="1"/>
        <v>2.7657618934604847E-2</v>
      </c>
      <c r="N69" s="123">
        <f t="shared" si="1"/>
        <v>3.1776090849212416E-2</v>
      </c>
      <c r="O69" s="123">
        <f t="shared" si="1"/>
        <v>4.3313340418893093E-2</v>
      </c>
      <c r="P69" s="123">
        <f t="shared" si="1"/>
        <v>4.2549809928314725E-2</v>
      </c>
      <c r="Q69" s="123">
        <f t="shared" si="1"/>
        <v>4.2281964418369865E-2</v>
      </c>
      <c r="R69" s="123">
        <f t="shared" si="1"/>
        <v>3.9580250137699183E-2</v>
      </c>
      <c r="S69" s="123">
        <f t="shared" si="1"/>
        <v>3.6402899919227669E-2</v>
      </c>
      <c r="T69" s="123">
        <f t="shared" si="1"/>
        <v>3.5811452779339628E-2</v>
      </c>
      <c r="U69" s="123">
        <f t="shared" si="1"/>
        <v>3.5128270844334918E-2</v>
      </c>
      <c r="V69" s="123">
        <f t="shared" si="1"/>
        <v>3.4662789292573624E-2</v>
      </c>
      <c r="W69" s="123">
        <f t="shared" si="1"/>
        <v>3.4479127223763673E-2</v>
      </c>
      <c r="X69" s="123">
        <f t="shared" si="1"/>
        <v>3.52977982619491E-2</v>
      </c>
      <c r="Y69" s="123">
        <f t="shared" si="1"/>
        <v>3.4573171693735492E-2</v>
      </c>
      <c r="Z69" s="123">
        <f t="shared" si="1"/>
        <v>3.3789482405229887E-2</v>
      </c>
      <c r="AA69" s="123">
        <f t="shared" si="1"/>
        <v>3.7413639413226889E-2</v>
      </c>
    </row>
  </sheetData>
  <mergeCells count="14">
    <mergeCell ref="B1:N1"/>
    <mergeCell ref="O1:AA1"/>
    <mergeCell ref="B11:N11"/>
    <mergeCell ref="O11:AA11"/>
    <mergeCell ref="B21:N21"/>
    <mergeCell ref="O21:AA21"/>
    <mergeCell ref="B61:N61"/>
    <mergeCell ref="O61:AA61"/>
    <mergeCell ref="B31:N31"/>
    <mergeCell ref="O31:AA31"/>
    <mergeCell ref="B41:N41"/>
    <mergeCell ref="O41:AA41"/>
    <mergeCell ref="B51:N51"/>
    <mergeCell ref="O51:AA5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7"/>
  <sheetViews>
    <sheetView showGridLines="0" workbookViewId="0">
      <selection activeCell="G26" sqref="G26"/>
    </sheetView>
  </sheetViews>
  <sheetFormatPr defaultRowHeight="12"/>
  <cols>
    <col min="1" max="1" width="9.140625" style="12"/>
    <col min="2" max="2" width="5.7109375" style="12" customWidth="1"/>
    <col min="3" max="7" width="9.140625" style="12"/>
    <col min="8" max="9" width="10" style="12" customWidth="1"/>
    <col min="10" max="16384" width="9.140625" style="12"/>
  </cols>
  <sheetData>
    <row r="1" spans="1:11">
      <c r="H1" s="128" t="s">
        <v>137</v>
      </c>
      <c r="I1" s="128" t="s">
        <v>138</v>
      </c>
      <c r="J1" s="124" t="s">
        <v>132</v>
      </c>
    </row>
    <row r="2" spans="1:11">
      <c r="H2" s="130" t="s">
        <v>127</v>
      </c>
      <c r="I2" s="130" t="s">
        <v>52</v>
      </c>
      <c r="J2" s="124">
        <f ca="1">OFFSET('Life Time'!$B$4,$H$3-3,$I$3-1)</f>
        <v>15018</v>
      </c>
      <c r="K2" s="136" t="str">
        <f>_xlfn.CONCAT("Segment : ",H2," Quarters : ",I2)</f>
        <v>Segment : SEG2 Quarters : 2011Q3</v>
      </c>
    </row>
    <row r="3" spans="1:11">
      <c r="H3" s="131">
        <f>VLOOKUP(H2,A5:B11,2,FALSE)</f>
        <v>11</v>
      </c>
      <c r="I3" s="131">
        <f>VLOOKUP(I2,A14:B26,2,FALSE)</f>
        <v>9</v>
      </c>
    </row>
    <row r="4" spans="1:11">
      <c r="A4" s="132" t="s">
        <v>134</v>
      </c>
      <c r="B4" s="133"/>
      <c r="C4" s="133"/>
      <c r="D4" s="124" t="s">
        <v>135</v>
      </c>
      <c r="E4" s="124" t="s">
        <v>124</v>
      </c>
      <c r="F4" s="124" t="s">
        <v>125</v>
      </c>
    </row>
    <row r="5" spans="1:11">
      <c r="A5" s="132" t="s">
        <v>126</v>
      </c>
      <c r="B5" s="131">
        <v>1</v>
      </c>
      <c r="C5" s="133"/>
      <c r="D5" s="124">
        <v>1</v>
      </c>
      <c r="E5" s="129">
        <f ca="1">OFFSET('Life Time'!$B$4,$H$3-1+$D5-1,$I$3-1)</f>
        <v>3.5300000000000002E-3</v>
      </c>
      <c r="F5" s="129">
        <f ca="1">OFFSET('Life Time'!$O$4,$H$3-1+$D5-1,$I$3-1)</f>
        <v>3.7499999999999999E-3</v>
      </c>
    </row>
    <row r="6" spans="1:11">
      <c r="A6" s="132" t="s">
        <v>127</v>
      </c>
      <c r="B6" s="131">
        <v>11</v>
      </c>
      <c r="C6" s="133"/>
      <c r="D6" s="124">
        <v>2</v>
      </c>
      <c r="E6" s="129">
        <f ca="1">OFFSET('Life Time'!$B$4,$H$3-1+$D6-1,$I$3-1)</f>
        <v>1.0449999999999999E-2</v>
      </c>
      <c r="F6" s="129">
        <f ca="1">OFFSET('Life Time'!$O$4,$H$3-1+$D6-1,$I$3-1)</f>
        <v>7.7000000000000002E-3</v>
      </c>
    </row>
    <row r="7" spans="1:11">
      <c r="A7" s="132" t="s">
        <v>128</v>
      </c>
      <c r="B7" s="131">
        <v>21</v>
      </c>
      <c r="C7" s="133"/>
      <c r="D7" s="124">
        <v>3</v>
      </c>
      <c r="E7" s="129">
        <f ca="1">OFFSET('Life Time'!$B$4,$H$3-1+$D7-1,$I$3-1)</f>
        <v>1.558E-2</v>
      </c>
      <c r="F7" s="129">
        <f ca="1">OFFSET('Life Time'!$O$4,$H$3-1+$D7-1,$I$3-1)</f>
        <v>1.225E-2</v>
      </c>
    </row>
    <row r="8" spans="1:11">
      <c r="A8" s="132" t="s">
        <v>129</v>
      </c>
      <c r="B8" s="131">
        <v>31</v>
      </c>
      <c r="C8" s="133"/>
      <c r="D8" s="124">
        <v>4</v>
      </c>
      <c r="E8" s="129">
        <f ca="1">OFFSET('Life Time'!$B$4,$H$3-1+$D8-1,$I$3-1)</f>
        <v>2.0969999999999999E-2</v>
      </c>
      <c r="F8" s="129">
        <f ca="1">OFFSET('Life Time'!$O$4,$H$3-1+$D8-1,$I$3-1)</f>
        <v>1.7080000000000001E-2</v>
      </c>
    </row>
    <row r="9" spans="1:11">
      <c r="A9" s="132" t="s">
        <v>130</v>
      </c>
      <c r="B9" s="131">
        <v>41</v>
      </c>
      <c r="C9" s="133"/>
      <c r="D9" s="124">
        <v>5</v>
      </c>
      <c r="E9" s="129">
        <f ca="1">OFFSET('Life Time'!$B$4,$H$3-1+$D9-1,$I$3-1)</f>
        <v>2.5770000000000001E-2</v>
      </c>
      <c r="F9" s="129">
        <f ca="1">OFFSET('Life Time'!$O$4,$H$3-1+$D9-1,$I$3-1)</f>
        <v>2.232E-2</v>
      </c>
    </row>
    <row r="10" spans="1:11">
      <c r="A10" s="132" t="s">
        <v>131</v>
      </c>
      <c r="B10" s="131">
        <v>51</v>
      </c>
      <c r="C10" s="133"/>
      <c r="D10" s="124">
        <v>6</v>
      </c>
      <c r="E10" s="129">
        <f ca="1">OFFSET('Life Time'!$B$4,$H$3-1+$D10-1,$I$3-1)</f>
        <v>2.9229999999999999E-2</v>
      </c>
      <c r="F10" s="129">
        <f ca="1">OFFSET('Life Time'!$O$4,$H$3-1+$D10-1,$I$3-1)</f>
        <v>2.8129999999999999E-2</v>
      </c>
    </row>
    <row r="11" spans="1:11">
      <c r="A11" s="132" t="s">
        <v>2</v>
      </c>
      <c r="B11" s="131">
        <v>61</v>
      </c>
      <c r="C11" s="133"/>
    </row>
    <row r="12" spans="1:11">
      <c r="A12" s="133"/>
      <c r="B12" s="131"/>
      <c r="C12" s="133"/>
    </row>
    <row r="13" spans="1:11">
      <c r="A13" s="132" t="s">
        <v>136</v>
      </c>
      <c r="B13" s="131"/>
      <c r="C13" s="133"/>
    </row>
    <row r="14" spans="1:11">
      <c r="A14" s="134" t="s">
        <v>60</v>
      </c>
      <c r="B14" s="131">
        <v>1</v>
      </c>
      <c r="C14" s="133"/>
    </row>
    <row r="15" spans="1:11">
      <c r="A15" s="134" t="s">
        <v>59</v>
      </c>
      <c r="B15" s="131">
        <v>2</v>
      </c>
      <c r="C15" s="133"/>
    </row>
    <row r="16" spans="1:11">
      <c r="A16" s="134" t="s">
        <v>58</v>
      </c>
      <c r="B16" s="131">
        <v>3</v>
      </c>
      <c r="C16" s="133"/>
    </row>
    <row r="17" spans="1:3">
      <c r="A17" s="134" t="s">
        <v>57</v>
      </c>
      <c r="B17" s="131">
        <v>4</v>
      </c>
      <c r="C17" s="133"/>
    </row>
    <row r="18" spans="1:3">
      <c r="A18" s="134" t="s">
        <v>56</v>
      </c>
      <c r="B18" s="131">
        <v>5</v>
      </c>
      <c r="C18" s="133"/>
    </row>
    <row r="19" spans="1:3">
      <c r="A19" s="134" t="s">
        <v>55</v>
      </c>
      <c r="B19" s="131">
        <v>6</v>
      </c>
      <c r="C19" s="133"/>
    </row>
    <row r="20" spans="1:3">
      <c r="A20" s="134" t="s">
        <v>54</v>
      </c>
      <c r="B20" s="131">
        <v>7</v>
      </c>
      <c r="C20" s="133"/>
    </row>
    <row r="21" spans="1:3">
      <c r="A21" s="134" t="s">
        <v>53</v>
      </c>
      <c r="B21" s="131">
        <v>8</v>
      </c>
      <c r="C21" s="133"/>
    </row>
    <row r="22" spans="1:3">
      <c r="A22" s="134" t="s">
        <v>52</v>
      </c>
      <c r="B22" s="131">
        <v>9</v>
      </c>
      <c r="C22" s="133"/>
    </row>
    <row r="23" spans="1:3">
      <c r="A23" s="134" t="s">
        <v>51</v>
      </c>
      <c r="B23" s="131">
        <v>10</v>
      </c>
      <c r="C23" s="133"/>
    </row>
    <row r="24" spans="1:3">
      <c r="A24" s="135" t="s">
        <v>50</v>
      </c>
      <c r="B24" s="131">
        <v>11</v>
      </c>
      <c r="C24" s="133"/>
    </row>
    <row r="25" spans="1:3">
      <c r="A25" s="134" t="s">
        <v>49</v>
      </c>
      <c r="B25" s="131">
        <v>12</v>
      </c>
      <c r="C25" s="133"/>
    </row>
    <row r="26" spans="1:3">
      <c r="A26" s="134" t="s">
        <v>2</v>
      </c>
      <c r="B26" s="131">
        <v>13</v>
      </c>
      <c r="C26" s="133"/>
    </row>
    <row r="27" spans="1:3">
      <c r="A27" s="133"/>
      <c r="B27" s="133"/>
      <c r="C27" s="133"/>
    </row>
  </sheetData>
  <dataValidations count="2">
    <dataValidation type="list" allowBlank="1" showInputMessage="1" showErrorMessage="1" sqref="H2">
      <formula1>$A$5:$A$11</formula1>
    </dataValidation>
    <dataValidation type="list" allowBlank="1" showInputMessage="1" showErrorMessage="1" sqref="I2">
      <formula1>$A$14:$A$26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Models</vt:lpstr>
      <vt:lpstr>Fit</vt:lpstr>
      <vt:lpstr>PD mandatory - Binomial OOT</vt:lpstr>
      <vt:lpstr>PD indicative - R-sq t-test</vt:lpstr>
      <vt:lpstr>Stress Response</vt:lpstr>
      <vt:lpstr>Life Time</vt:lpstr>
      <vt:lpstr>Life Time Plot</vt:lpstr>
      <vt:lpstr>'PD mandatory - Binomial OOT'!Print_Area</vt:lpstr>
    </vt:vector>
  </TitlesOfParts>
  <Company>Standard Chartered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sg_clsteven</dc:creator>
  <cp:lastModifiedBy>Kumar7, Amit</cp:lastModifiedBy>
  <cp:lastPrinted>2009-08-17T08:37:28Z</cp:lastPrinted>
  <dcterms:created xsi:type="dcterms:W3CDTF">2007-03-19T05:53:55Z</dcterms:created>
  <dcterms:modified xsi:type="dcterms:W3CDTF">2019-03-12T06:17:24Z</dcterms:modified>
</cp:coreProperties>
</file>